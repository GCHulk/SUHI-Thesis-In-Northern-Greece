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192" activeTab="1"/>
  </bookViews>
  <sheets>
    <sheet name="July-Aug" sheetId="1" r:id="rId1"/>
    <sheet name="Nov-De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" i="2" l="1"/>
  <c r="C62" i="2"/>
  <c r="J35" i="1" l="1"/>
  <c r="D35" i="1"/>
  <c r="L71" i="2" l="1"/>
  <c r="L72" i="2"/>
  <c r="L73" i="2"/>
  <c r="L74" i="2"/>
  <c r="L75" i="2"/>
  <c r="L76" i="2"/>
  <c r="L77" i="2"/>
  <c r="L78" i="2"/>
  <c r="L79" i="2"/>
  <c r="L70" i="2"/>
  <c r="I71" i="2"/>
  <c r="I72" i="2"/>
  <c r="I73" i="2"/>
  <c r="I74" i="2"/>
  <c r="I75" i="2"/>
  <c r="I76" i="2"/>
  <c r="I77" i="2"/>
  <c r="I78" i="2"/>
  <c r="I79" i="2"/>
  <c r="I70" i="2"/>
  <c r="F71" i="2"/>
  <c r="F72" i="2"/>
  <c r="F73" i="2"/>
  <c r="F74" i="2"/>
  <c r="F75" i="2"/>
  <c r="F76" i="2"/>
  <c r="F77" i="2"/>
  <c r="F78" i="2"/>
  <c r="F79" i="2"/>
  <c r="F70" i="2"/>
  <c r="C71" i="2"/>
  <c r="C72" i="2"/>
  <c r="C73" i="2"/>
  <c r="C74" i="2"/>
  <c r="C75" i="2"/>
  <c r="C76" i="2"/>
  <c r="C77" i="2"/>
  <c r="C78" i="2"/>
  <c r="C79" i="2"/>
  <c r="C70" i="2"/>
  <c r="H116" i="1"/>
  <c r="K117" i="1"/>
  <c r="K118" i="1"/>
  <c r="K119" i="1"/>
  <c r="K120" i="1"/>
  <c r="K121" i="1"/>
  <c r="K122" i="1"/>
  <c r="K123" i="1"/>
  <c r="K124" i="1"/>
  <c r="K125" i="1"/>
  <c r="K116" i="1"/>
  <c r="H117" i="1"/>
  <c r="H118" i="1"/>
  <c r="H119" i="1"/>
  <c r="H120" i="1"/>
  <c r="H121" i="1"/>
  <c r="H122" i="1"/>
  <c r="H123" i="1"/>
  <c r="H124" i="1"/>
  <c r="H125" i="1"/>
  <c r="E117" i="1"/>
  <c r="E118" i="1"/>
  <c r="E119" i="1"/>
  <c r="E120" i="1"/>
  <c r="E121" i="1"/>
  <c r="E122" i="1"/>
  <c r="E123" i="1"/>
  <c r="E124" i="1"/>
  <c r="E125" i="1"/>
  <c r="E116" i="1"/>
  <c r="B117" i="1"/>
  <c r="B118" i="1"/>
  <c r="B119" i="1"/>
  <c r="B120" i="1"/>
  <c r="B121" i="1"/>
  <c r="B122" i="1"/>
  <c r="B123" i="1"/>
  <c r="B124" i="1"/>
  <c r="B125" i="1"/>
  <c r="B116" i="1"/>
  <c r="I53" i="2" l="1"/>
  <c r="I54" i="2"/>
  <c r="I55" i="2"/>
  <c r="I56" i="2"/>
  <c r="I57" i="2"/>
  <c r="I58" i="2"/>
  <c r="I59" i="2"/>
  <c r="I60" i="2"/>
  <c r="I61" i="2"/>
  <c r="I52" i="2"/>
  <c r="C53" i="2"/>
  <c r="C54" i="2"/>
  <c r="C55" i="2"/>
  <c r="C56" i="2"/>
  <c r="C57" i="2"/>
  <c r="C58" i="2"/>
  <c r="C59" i="2"/>
  <c r="C60" i="2"/>
  <c r="C61" i="2"/>
  <c r="C52" i="2"/>
  <c r="C26" i="1" l="1"/>
  <c r="I35" i="1" l="1"/>
  <c r="I34" i="1"/>
  <c r="I33" i="1"/>
  <c r="I32" i="1"/>
  <c r="I31" i="1"/>
  <c r="I30" i="1"/>
  <c r="I29" i="1"/>
  <c r="I28" i="1"/>
  <c r="I27" i="1"/>
  <c r="I26" i="1"/>
  <c r="C35" i="1"/>
  <c r="C34" i="1"/>
  <c r="C33" i="1"/>
  <c r="C32" i="1"/>
  <c r="C31" i="1"/>
  <c r="C30" i="1"/>
  <c r="C29" i="1"/>
  <c r="C28" i="1"/>
  <c r="C27" i="1"/>
</calcChain>
</file>

<file path=xl/sharedStrings.xml><?xml version="1.0" encoding="utf-8"?>
<sst xmlns="http://schemas.openxmlformats.org/spreadsheetml/2006/main" count="388" uniqueCount="57">
  <si>
    <t>Max</t>
  </si>
  <si>
    <t>Urban Night Thess/niki</t>
  </si>
  <si>
    <t>Urban Day Thess/niki July 1-August 31</t>
  </si>
  <si>
    <t>mean</t>
  </si>
  <si>
    <t>min</t>
  </si>
  <si>
    <t>Rural Day Thess/niki</t>
  </si>
  <si>
    <t>Rural Night Thess/niki</t>
  </si>
  <si>
    <t>08--17</t>
  </si>
  <si>
    <t>Jul-Aug 2008</t>
  </si>
  <si>
    <t>Jul-Aug 2009</t>
  </si>
  <si>
    <t>Jul-Aug 2010</t>
  </si>
  <si>
    <t>Jul-Aug 2011</t>
  </si>
  <si>
    <t>Jul-Aug 2012</t>
  </si>
  <si>
    <t>Jul-Aug 2013</t>
  </si>
  <si>
    <t>Jul-Aug 2014</t>
  </si>
  <si>
    <t>Jul-Aug 2015</t>
  </si>
  <si>
    <t>Jul-Aug 2016</t>
  </si>
  <si>
    <t>Jul-Aug 2017</t>
  </si>
  <si>
    <t>Rural Agrotiki Day</t>
  </si>
  <si>
    <t>Rural Agrotiki Night</t>
  </si>
  <si>
    <t>Mean</t>
  </si>
  <si>
    <t>Min</t>
  </si>
  <si>
    <t>Seih Sou Forest Day</t>
  </si>
  <si>
    <t>2008-2017 Day</t>
  </si>
  <si>
    <t>2008-2017 Night</t>
  </si>
  <si>
    <t>2008-17</t>
  </si>
  <si>
    <t>Day</t>
  </si>
  <si>
    <t>Night</t>
  </si>
  <si>
    <t>LUHI Intensity Day</t>
  </si>
  <si>
    <t>LUHI Intensity Night</t>
  </si>
  <si>
    <t>Nov-Dec 2008</t>
  </si>
  <si>
    <t>Nov-Dec 2009</t>
  </si>
  <si>
    <t>Nov-Dec 2010</t>
  </si>
  <si>
    <t>Nov-Dec 2011</t>
  </si>
  <si>
    <t>Nov-Dec 2012</t>
  </si>
  <si>
    <t>Nov-Dec 2013</t>
  </si>
  <si>
    <t>Nov-Dec 2014</t>
  </si>
  <si>
    <t>Nov-Dec 2015</t>
  </si>
  <si>
    <t>Nov-Dec 2016</t>
  </si>
  <si>
    <t>Nov-Dec 2017</t>
  </si>
  <si>
    <t>Urban Thessaloniki Day</t>
  </si>
  <si>
    <t>Agrarian Chalastra Day</t>
  </si>
  <si>
    <t>Agrarian Chalastra Night</t>
  </si>
  <si>
    <t xml:space="preserve">Urban Thessaloniki Night </t>
  </si>
  <si>
    <t xml:space="preserve">Rural Thessaloniki Night </t>
  </si>
  <si>
    <t>Urban Day Thess/niki Nov 1-Dec 31</t>
  </si>
  <si>
    <t>Αστικές Περιοχές Θεσσαλονίκης July 1-August 31</t>
  </si>
  <si>
    <t>Δασικές Περιοχές Σέιχ Σου</t>
  </si>
  <si>
    <t>NIGHT</t>
  </si>
  <si>
    <t>DAY</t>
  </si>
  <si>
    <t xml:space="preserve">Αστικές Περιοχές Θεσσαλονίκης </t>
  </si>
  <si>
    <t>LUHI Night Urban-Forest</t>
  </si>
  <si>
    <t xml:space="preserve">LUHI Day Urban-Forest </t>
  </si>
  <si>
    <t>LUHI Day Urban-Agrotiki</t>
  </si>
  <si>
    <t>LUHI Night Urban-Agrotiki</t>
  </si>
  <si>
    <t>LUHI Intensity Urban-Forest</t>
  </si>
  <si>
    <t>LUHI Intensity Urban-Agrarian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</si>
</sst>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1"/>
      <scheme val="minor"/>
    </font>
    <font>
      <sz val="8"/>
      <color theme="1"/>
      <name val="Courier New"/>
      <family val="3"/>
      <charset val="161"/>
    </font>
  </fonts>
  <fills count="7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LUHI Intensity</a:t>
            </a:r>
            <a:r>
              <a:rPr lang="en-US" baseline="0"/>
              <a:t> over Thessaloniki July-August 8-17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'July-Aug'!$C$25</c:f>
              <c:strCache>
                <c:ptCount val="1"/>
                <c:pt idx="0">
                  <c:v>LUHI Intensity 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'July-Aug'!$B$26:$B$35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'July-Aug'!$C$26:$C$35</c:f>
              <c:numCache>
                <c:formatCode>General</c:formatCode>
                <c:ptCount val="10"/>
                <c:pt idx="0">
                  <c:v>5.125115682437098</c:v>
                </c:pt>
                <c:pt idx="1">
                  <c:v>5.8403536874301025</c:v>
                </c:pt>
                <c:pt idx="2">
                  <c:v>6.0415276073098028</c:v>
                </c:pt>
                <c:pt idx="3">
                  <c:v>5.7213562419171993</c:v>
                </c:pt>
                <c:pt idx="4">
                  <c:v>5.6005841386267008</c:v>
                </c:pt>
                <c:pt idx="5">
                  <c:v>5.2127676369030027</c:v>
                </c:pt>
                <c:pt idx="6">
                  <c:v>5.8953750102614038</c:v>
                </c:pt>
                <c:pt idx="7">
                  <c:v>6.7095400637447966</c:v>
                </c:pt>
                <c:pt idx="8">
                  <c:v>5.5877978870301988</c:v>
                </c:pt>
                <c:pt idx="9">
                  <c:v>6.2140091328062965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E-4358-9B33-2E111377C6D8}"/>
            </c:ext>
          </c:extLst>
        </c:ser>
        <c:ser>
          <c:idx val="1"/>
          <c:order val="1"/>
          <c:tx>
            <c:strRef>
              <c:f>'July-Aug'!$I$25</c:f>
              <c:strCache>
                <c:ptCount val="1"/>
                <c:pt idx="0">
                  <c:v>LUHI Intensity Night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'July-Aug'!$B$26:$B$35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'July-Aug'!$I$26:$I$35</c:f>
              <c:numCache>
                <c:formatCode>General</c:formatCode>
                <c:ptCount val="10"/>
                <c:pt idx="0">
                  <c:v>3.5369035332775987</c:v>
                </c:pt>
                <c:pt idx="1">
                  <c:v>3.1866330157745999</c:v>
                </c:pt>
                <c:pt idx="2">
                  <c:v>4.1472473542415997</c:v>
                </c:pt>
                <c:pt idx="3">
                  <c:v>3.8433352875131988</c:v>
                </c:pt>
                <c:pt idx="4">
                  <c:v>3.4831242024039994</c:v>
                </c:pt>
                <c:pt idx="5">
                  <c:v>3.2040375451409986</c:v>
                </c:pt>
                <c:pt idx="6">
                  <c:v>3.7225738991609987</c:v>
                </c:pt>
                <c:pt idx="7">
                  <c:v>3.6164176657405989</c:v>
                </c:pt>
                <c:pt idx="8">
                  <c:v>3.2907228563949005</c:v>
                </c:pt>
                <c:pt idx="9">
                  <c:v>3.2073581434319003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E-4358-9B33-2E111377C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450351"/>
        <c:axId val="296451599"/>
      </c:lineChart>
      <c:catAx>
        <c:axId val="296450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96451599"/>
        <c:crosses val="autoZero"/>
        <c:auto val="1"/>
        <c:lblAlgn val="ctr"/>
        <c:lblOffset val="100"/>
        <c:noMultiLvlLbl val="0"/>
      </c:catAx>
      <c:valAx>
        <c:axId val="296451599"/>
        <c:scaling>
          <c:orientation val="minMax"/>
          <c:max val="7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Land surface temperature diffeence oC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9645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20664020122484689"/>
          <c:y val="0.82465223097112861"/>
          <c:w val="0.6033860454943131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Daytime urban </a:t>
            </a:r>
            <a:r>
              <a:rPr lang="en-US" sz="1400" b="0" i="0" u="none" strike="noStrike" baseline="0">
                <a:effectLst/>
              </a:rPr>
              <a:t>mean</a:t>
            </a:r>
            <a:r>
              <a:rPr lang="en-US"/>
              <a:t> LST</a:t>
            </a:r>
            <a:r>
              <a:rPr lang="en-US" baseline="0"/>
              <a:t> in Thessaloniki July-August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'July-Aug'!$A$2:$A$11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'July-Aug'!$C$2:$C$11</c:f>
              <c:numCache>
                <c:formatCode>General</c:formatCode>
                <c:ptCount val="10"/>
                <c:pt idx="0">
                  <c:v>40.2630517814424</c:v>
                </c:pt>
                <c:pt idx="1">
                  <c:v>39.196534492278602</c:v>
                </c:pt>
                <c:pt idx="2">
                  <c:v>40.129252495568501</c:v>
                </c:pt>
                <c:pt idx="3">
                  <c:v>39.501863595377401</c:v>
                </c:pt>
                <c:pt idx="4">
                  <c:v>41.668502595093301</c:v>
                </c:pt>
                <c:pt idx="5">
                  <c:v>40.270420086903499</c:v>
                </c:pt>
                <c:pt idx="6">
                  <c:v>39.219135263254302</c:v>
                </c:pt>
                <c:pt idx="7">
                  <c:v>40.072379728800797</c:v>
                </c:pt>
                <c:pt idx="8">
                  <c:v>39.992738897998699</c:v>
                </c:pt>
                <c:pt idx="9">
                  <c:v>40.330308113883497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9-4FD5-ABBA-9B7C515C4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315263"/>
        <c:axId val="301313599"/>
      </c:lineChart>
      <c:catAx>
        <c:axId val="301315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01313599"/>
        <c:crosses val="autoZero"/>
        <c:auto val="1"/>
        <c:lblAlgn val="ctr"/>
        <c:lblOffset val="100"/>
        <c:noMultiLvlLbl val="0"/>
      </c:catAx>
      <c:valAx>
        <c:axId val="301313599"/>
        <c:scaling>
          <c:orientation val="minMax"/>
          <c:min val="3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effectLst/>
                  </a:rPr>
                  <a:t>Land</a:t>
                </a:r>
                <a:r>
                  <a:rPr lang="en-US" baseline="0">
                    <a:effectLst/>
                  </a:rPr>
                  <a:t> surface Temperature oC</a:t>
                </a:r>
                <a:endParaRPr lang="el-GR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0131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Nighttime urban mean LST in Thessaloniki July-August</a:t>
            </a:r>
            <a:endParaRPr lang="el-G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'July-Aug'!$G$2:$G$11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'July-Aug'!$I$2:$I$11</c:f>
              <c:numCache>
                <c:formatCode>General</c:formatCode>
                <c:ptCount val="10"/>
                <c:pt idx="0">
                  <c:v>23.362864077548199</c:v>
                </c:pt>
                <c:pt idx="1">
                  <c:v>22.625014505040198</c:v>
                </c:pt>
                <c:pt idx="2">
                  <c:v>23.834740075998798</c:v>
                </c:pt>
                <c:pt idx="3">
                  <c:v>22.8969366174715</c:v>
                </c:pt>
                <c:pt idx="4">
                  <c:v>24.026779397363001</c:v>
                </c:pt>
                <c:pt idx="5">
                  <c:v>23.1085790700978</c:v>
                </c:pt>
                <c:pt idx="6">
                  <c:v>22.8065931750921</c:v>
                </c:pt>
                <c:pt idx="7">
                  <c:v>23.500210777052001</c:v>
                </c:pt>
                <c:pt idx="8">
                  <c:v>23.130404079563899</c:v>
                </c:pt>
                <c:pt idx="9">
                  <c:v>23.182801417177799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1-423C-86AC-744D9BC6F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349183"/>
        <c:axId val="390349599"/>
      </c:lineChart>
      <c:catAx>
        <c:axId val="390349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90349599"/>
        <c:crosses val="autoZero"/>
        <c:auto val="1"/>
        <c:lblAlgn val="ctr"/>
        <c:lblOffset val="100"/>
        <c:noMultiLvlLbl val="0"/>
      </c:catAx>
      <c:valAx>
        <c:axId val="390349599"/>
        <c:scaling>
          <c:orientation val="minMax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 surface Temperature 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90349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Nighttime rural mean LST in Thessaloniki July-August</a:t>
            </a:r>
            <a:endParaRPr lang="el-GR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'July-Aug'!$G$14:$G$23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'July-Aug'!$I$14:$I$23</c:f>
              <c:numCache>
                <c:formatCode>General</c:formatCode>
                <c:ptCount val="10"/>
                <c:pt idx="0">
                  <c:v>19.8259605442706</c:v>
                </c:pt>
                <c:pt idx="1">
                  <c:v>19.438381489265598</c:v>
                </c:pt>
                <c:pt idx="2">
                  <c:v>19.687492721757199</c:v>
                </c:pt>
                <c:pt idx="3">
                  <c:v>19.053601329958301</c:v>
                </c:pt>
                <c:pt idx="4">
                  <c:v>20.543655194959001</c:v>
                </c:pt>
                <c:pt idx="5">
                  <c:v>19.904541524956802</c:v>
                </c:pt>
                <c:pt idx="6">
                  <c:v>19.084019275931102</c:v>
                </c:pt>
                <c:pt idx="7">
                  <c:v>19.883793111311402</c:v>
                </c:pt>
                <c:pt idx="8">
                  <c:v>19.839681223168999</c:v>
                </c:pt>
                <c:pt idx="9">
                  <c:v>19.975443273745899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B-4994-BE15-C618ACB27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932784"/>
        <c:axId val="1175934448"/>
      </c:lineChart>
      <c:catAx>
        <c:axId val="117593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75934448"/>
        <c:crosses val="autoZero"/>
        <c:auto val="1"/>
        <c:lblAlgn val="ctr"/>
        <c:lblOffset val="100"/>
        <c:noMultiLvlLbl val="0"/>
      </c:catAx>
      <c:valAx>
        <c:axId val="117593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baseline="0">
                    <a:effectLst/>
                  </a:rPr>
                  <a:t>Land surface temperature  Co</a:t>
                </a:r>
                <a:endParaRPr lang="el-GR" sz="500">
                  <a:effectLst/>
                </a:endParaRPr>
              </a:p>
            </c:rich>
          </c:tx>
          <c:layout>
            <c:manualLayout>
              <c:xMode val="edge"/>
              <c:yMode val="edge"/>
              <c:x val="3.0555555555555555E-2"/>
              <c:y val="0.13972222222222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7593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Daytime rural mean LST in Thessaloniki July-August</a:t>
            </a:r>
            <a:endParaRPr lang="el-GR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'July-Aug'!$A$14:$A$23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'July-Aug'!$C$14:$C$23</c:f>
              <c:numCache>
                <c:formatCode>General</c:formatCode>
                <c:ptCount val="10"/>
                <c:pt idx="0">
                  <c:v>35.137936099005302</c:v>
                </c:pt>
                <c:pt idx="1">
                  <c:v>33.356180804848499</c:v>
                </c:pt>
                <c:pt idx="2">
                  <c:v>34.087724888258698</c:v>
                </c:pt>
                <c:pt idx="3">
                  <c:v>33.780507353460202</c:v>
                </c:pt>
                <c:pt idx="4">
                  <c:v>36.0679184564666</c:v>
                </c:pt>
                <c:pt idx="5">
                  <c:v>35.057652450000496</c:v>
                </c:pt>
                <c:pt idx="6">
                  <c:v>33.323760252992898</c:v>
                </c:pt>
                <c:pt idx="7">
                  <c:v>33.362839665056001</c:v>
                </c:pt>
                <c:pt idx="8">
                  <c:v>34.4049410109685</c:v>
                </c:pt>
                <c:pt idx="9">
                  <c:v>34.1162989810772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4-4CAD-8DB8-06DEE4473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352672"/>
        <c:axId val="1107351840"/>
      </c:lineChart>
      <c:catAx>
        <c:axId val="110735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Month-Year</a:t>
                </a:r>
                <a:endParaRPr lang="el-GR" sz="6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07351840"/>
        <c:crosses val="autoZero"/>
        <c:auto val="1"/>
        <c:lblAlgn val="ctr"/>
        <c:lblOffset val="100"/>
        <c:noMultiLvlLbl val="0"/>
      </c:catAx>
      <c:valAx>
        <c:axId val="110735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Land surface temperature  Co</a:t>
                </a:r>
                <a:endParaRPr lang="el-GR" sz="6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0735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Daytime mean</a:t>
            </a:r>
            <a:r>
              <a:rPr lang="en-US" baseline="0"/>
              <a:t> LST of Chalastra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'July-Aug'!$A$39:$A$48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'July-Aug'!$C$39:$C$48</c:f>
              <c:numCache>
                <c:formatCode>General</c:formatCode>
                <c:ptCount val="10"/>
                <c:pt idx="0">
                  <c:v>28.8218561194311</c:v>
                </c:pt>
                <c:pt idx="1">
                  <c:v>28.418960017698598</c:v>
                </c:pt>
                <c:pt idx="2">
                  <c:v>28.486068951968399</c:v>
                </c:pt>
                <c:pt idx="3">
                  <c:v>29.158335383181502</c:v>
                </c:pt>
                <c:pt idx="4">
                  <c:v>30.261107706362701</c:v>
                </c:pt>
                <c:pt idx="5">
                  <c:v>30.2846826374562</c:v>
                </c:pt>
                <c:pt idx="6">
                  <c:v>29.0334064049147</c:v>
                </c:pt>
                <c:pt idx="7">
                  <c:v>29.335010910434502</c:v>
                </c:pt>
                <c:pt idx="8">
                  <c:v>28.692599349896302</c:v>
                </c:pt>
                <c:pt idx="9">
                  <c:v>28.836525348967601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2-486D-A1B3-4705D5CF6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064"/>
        <c:axId val="153232544"/>
      </c:lineChart>
      <c:catAx>
        <c:axId val="104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3232544"/>
        <c:crosses val="autoZero"/>
        <c:auto val="1"/>
        <c:lblAlgn val="ctr"/>
        <c:lblOffset val="100"/>
        <c:noMultiLvlLbl val="0"/>
      </c:catAx>
      <c:valAx>
        <c:axId val="153232544"/>
        <c:scaling>
          <c:orientation val="minMax"/>
          <c:min val="2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 Surface Temperature oC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04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Nighttime mean LST of </a:t>
            </a:r>
            <a:r>
              <a:rPr lang="en-US" baseline="0"/>
              <a:t>Chalastra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'July-Aug'!$A$51:$A$60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'July-Aug'!$C$51:$C$60</c:f>
              <c:numCache>
                <c:formatCode>General</c:formatCode>
                <c:ptCount val="10"/>
                <c:pt idx="0">
                  <c:v>18.195041892688501</c:v>
                </c:pt>
                <c:pt idx="1">
                  <c:v>17.833447488132801</c:v>
                </c:pt>
                <c:pt idx="2">
                  <c:v>18.869362521366401</c:v>
                </c:pt>
                <c:pt idx="3">
                  <c:v>17.900286756911999</c:v>
                </c:pt>
                <c:pt idx="4">
                  <c:v>19.1509499354353</c:v>
                </c:pt>
                <c:pt idx="5">
                  <c:v>18.624351298414101</c:v>
                </c:pt>
                <c:pt idx="6">
                  <c:v>18.454750482178198</c:v>
                </c:pt>
                <c:pt idx="7">
                  <c:v>18.8907634629177</c:v>
                </c:pt>
                <c:pt idx="8">
                  <c:v>18.634580933687602</c:v>
                </c:pt>
                <c:pt idx="9">
                  <c:v>18.059115921331301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58-49AA-8AB1-9D56959E3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30528"/>
        <c:axId val="213829696"/>
      </c:lineChart>
      <c:catAx>
        <c:axId val="21383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13829696"/>
        <c:crosses val="autoZero"/>
        <c:auto val="1"/>
        <c:lblAlgn val="ctr"/>
        <c:lblOffset val="100"/>
        <c:noMultiLvlLbl val="0"/>
      </c:catAx>
      <c:valAx>
        <c:axId val="213829696"/>
        <c:scaling>
          <c:orientation val="minMax"/>
          <c:min val="17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</a:t>
                </a:r>
                <a:r>
                  <a:rPr lang="en-US" baseline="0"/>
                  <a:t> Surface Temperature oC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21383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Daytime</a:t>
            </a:r>
            <a:r>
              <a:rPr lang="en-US" baseline="0"/>
              <a:t> mean LST of Seih Sou Forest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'July-Aug'!$F$39:$F$48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'July-Aug'!$I$39:$I$48</c:f>
              <c:numCache>
                <c:formatCode>General</c:formatCode>
                <c:ptCount val="10"/>
                <c:pt idx="0">
                  <c:v>37.569160841669799</c:v>
                </c:pt>
                <c:pt idx="1">
                  <c:v>35.256646501377901</c:v>
                </c:pt>
                <c:pt idx="2">
                  <c:v>36.243949090017601</c:v>
                </c:pt>
                <c:pt idx="3">
                  <c:v>35.559702502244498</c:v>
                </c:pt>
                <c:pt idx="4">
                  <c:v>38.303112123627102</c:v>
                </c:pt>
                <c:pt idx="5">
                  <c:v>36.894893641020303</c:v>
                </c:pt>
                <c:pt idx="6">
                  <c:v>34.975229908850103</c:v>
                </c:pt>
                <c:pt idx="7">
                  <c:v>34.913256531074197</c:v>
                </c:pt>
                <c:pt idx="8">
                  <c:v>36.603771049515501</c:v>
                </c:pt>
                <c:pt idx="9">
                  <c:v>36.148622246704797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F-400F-9D92-C32667959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042416"/>
        <c:axId val="1531039504"/>
      </c:lineChart>
      <c:catAx>
        <c:axId val="153104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31039504"/>
        <c:crosses val="autoZero"/>
        <c:auto val="1"/>
        <c:lblAlgn val="ctr"/>
        <c:lblOffset val="100"/>
        <c:noMultiLvlLbl val="0"/>
      </c:catAx>
      <c:valAx>
        <c:axId val="1531039504"/>
        <c:scaling>
          <c:orientation val="minMax"/>
          <c:min val="3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3104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Nighttime</a:t>
            </a:r>
            <a:r>
              <a:rPr lang="en-US" baseline="0"/>
              <a:t> mean LST of Seih Sou forest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'July-Aug'!$F$51:$F$60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'July-Aug'!$I$51:$I$60</c:f>
              <c:numCache>
                <c:formatCode>General</c:formatCode>
                <c:ptCount val="10"/>
                <c:pt idx="0">
                  <c:v>20.4537438832755</c:v>
                </c:pt>
                <c:pt idx="1">
                  <c:v>20.056162655196999</c:v>
                </c:pt>
                <c:pt idx="2">
                  <c:v>20.002412480902802</c:v>
                </c:pt>
                <c:pt idx="3">
                  <c:v>19.497542340068001</c:v>
                </c:pt>
                <c:pt idx="4">
                  <c:v>21.079743955257101</c:v>
                </c:pt>
                <c:pt idx="5">
                  <c:v>20.397320299790799</c:v>
                </c:pt>
                <c:pt idx="6">
                  <c:v>19.3262413291835</c:v>
                </c:pt>
                <c:pt idx="7">
                  <c:v>20.266036252497301</c:v>
                </c:pt>
                <c:pt idx="8">
                  <c:v>20.303555912953598</c:v>
                </c:pt>
                <c:pt idx="9">
                  <c:v>20.713087902899101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1D-458D-A4DF-CF736EB99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994640"/>
        <c:axId val="1672995888"/>
      </c:lineChart>
      <c:catAx>
        <c:axId val="167299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72995888"/>
        <c:crosses val="autoZero"/>
        <c:auto val="1"/>
        <c:lblAlgn val="ctr"/>
        <c:lblOffset val="100"/>
        <c:noMultiLvlLbl val="0"/>
      </c:catAx>
      <c:valAx>
        <c:axId val="1672995888"/>
        <c:scaling>
          <c:orientation val="minMax"/>
          <c:max val="21.4"/>
          <c:min val="1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67299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baseline="0">
                <a:effectLst/>
              </a:rPr>
              <a:t>Μέση ημερήσια θερμοκρασία επιφάνειας εδάφους Θεσσαλονίκης</a:t>
            </a:r>
            <a:endParaRPr lang="el-GR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Αγροτική Περιοχή Χαλάστρας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'July-Aug'!$A$39:$A$48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'July-Aug'!$C$39:$C$48</c:f>
              <c:numCache>
                <c:formatCode>General</c:formatCode>
                <c:ptCount val="10"/>
                <c:pt idx="0">
                  <c:v>28.8218561194311</c:v>
                </c:pt>
                <c:pt idx="1">
                  <c:v>28.418960017698598</c:v>
                </c:pt>
                <c:pt idx="2">
                  <c:v>28.486068951968399</c:v>
                </c:pt>
                <c:pt idx="3">
                  <c:v>29.158335383181502</c:v>
                </c:pt>
                <c:pt idx="4">
                  <c:v>30.261107706362701</c:v>
                </c:pt>
                <c:pt idx="5">
                  <c:v>30.2846826374562</c:v>
                </c:pt>
                <c:pt idx="6">
                  <c:v>29.0334064049147</c:v>
                </c:pt>
                <c:pt idx="7">
                  <c:v>29.335010910434502</c:v>
                </c:pt>
                <c:pt idx="8">
                  <c:v>28.692599349896302</c:v>
                </c:pt>
                <c:pt idx="9">
                  <c:v>28.836525348967601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74-4A73-A02E-F97EDED8A32A}"/>
            </c:ext>
          </c:extLst>
        </c:ser>
        <c:ser>
          <c:idx val="1"/>
          <c:order val="1"/>
          <c:tx>
            <c:strRef>
              <c:f>'July-Aug'!$F$38</c:f>
              <c:strCache>
                <c:ptCount val="1"/>
                <c:pt idx="0">
                  <c:v>Δασικές Περιοχές Σέιχ Σου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'July-Aug'!$I$39:$I$48</c:f>
              <c:numCache>
                <c:formatCode>General</c:formatCode>
                <c:ptCount val="10"/>
                <c:pt idx="0">
                  <c:v>37.569160841669799</c:v>
                </c:pt>
                <c:pt idx="1">
                  <c:v>35.256646501377901</c:v>
                </c:pt>
                <c:pt idx="2">
                  <c:v>36.243949090017601</c:v>
                </c:pt>
                <c:pt idx="3">
                  <c:v>35.559702502244498</c:v>
                </c:pt>
                <c:pt idx="4">
                  <c:v>38.303112123627102</c:v>
                </c:pt>
                <c:pt idx="5">
                  <c:v>36.894893641020303</c:v>
                </c:pt>
                <c:pt idx="6">
                  <c:v>34.975229908850103</c:v>
                </c:pt>
                <c:pt idx="7">
                  <c:v>34.913256531074197</c:v>
                </c:pt>
                <c:pt idx="8">
                  <c:v>36.603771049515501</c:v>
                </c:pt>
                <c:pt idx="9">
                  <c:v>36.148622246704797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74-4A73-A02E-F97EDED8A32A}"/>
            </c:ext>
          </c:extLst>
        </c:ser>
        <c:ser>
          <c:idx val="2"/>
          <c:order val="2"/>
          <c:tx>
            <c:v>Αστικές Περιοχές Θεσσαλονίκης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'July-Aug'!$C$2:$C$11</c:f>
              <c:numCache>
                <c:formatCode>General</c:formatCode>
                <c:ptCount val="10"/>
                <c:pt idx="0">
                  <c:v>40.2630517814424</c:v>
                </c:pt>
                <c:pt idx="1">
                  <c:v>39.196534492278602</c:v>
                </c:pt>
                <c:pt idx="2">
                  <c:v>40.129252495568501</c:v>
                </c:pt>
                <c:pt idx="3">
                  <c:v>39.501863595377401</c:v>
                </c:pt>
                <c:pt idx="4">
                  <c:v>41.668502595093301</c:v>
                </c:pt>
                <c:pt idx="5">
                  <c:v>40.270420086903499</c:v>
                </c:pt>
                <c:pt idx="6">
                  <c:v>39.219135263254302</c:v>
                </c:pt>
                <c:pt idx="7">
                  <c:v>40.072379728800797</c:v>
                </c:pt>
                <c:pt idx="8">
                  <c:v>39.992738897998699</c:v>
                </c:pt>
                <c:pt idx="9">
                  <c:v>40.330308113883497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74-4A73-A02E-F97EDED8A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119887"/>
        <c:axId val="1779126127"/>
      </c:lineChart>
      <c:catAx>
        <c:axId val="1779119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Μήνας-Χρόνος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861679790026247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9126127"/>
        <c:crosses val="autoZero"/>
        <c:auto val="1"/>
        <c:lblAlgn val="ctr"/>
        <c:lblOffset val="100"/>
        <c:noMultiLvlLbl val="0"/>
      </c:catAx>
      <c:valAx>
        <c:axId val="1779126127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Θερμοκρασία Επιφάνειας Εδάφους </a:t>
                </a:r>
                <a:r>
                  <a:rPr lang="en-US" sz="1000" b="0" i="0" baseline="0">
                    <a:effectLst/>
                  </a:rPr>
                  <a:t>°C</a:t>
                </a:r>
                <a:endParaRPr lang="el-GR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7911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800" b="0" i="0" baseline="0">
                <a:effectLst/>
              </a:rPr>
              <a:t>Μέση νυχτερινή θερμοκρασία επιφάνειας εδάφους Θεσσαλονικής</a:t>
            </a:r>
            <a:endParaRPr lang="el-G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Αγροτική Περιοχή Χαλάστρας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'July-Aug'!$A$51:$A$60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'July-Aug'!$C$51:$C$60</c:f>
              <c:numCache>
                <c:formatCode>General</c:formatCode>
                <c:ptCount val="10"/>
                <c:pt idx="0">
                  <c:v>18.195041892688501</c:v>
                </c:pt>
                <c:pt idx="1">
                  <c:v>17.833447488132801</c:v>
                </c:pt>
                <c:pt idx="2">
                  <c:v>18.869362521366401</c:v>
                </c:pt>
                <c:pt idx="3">
                  <c:v>17.900286756911999</c:v>
                </c:pt>
                <c:pt idx="4">
                  <c:v>19.1509499354353</c:v>
                </c:pt>
                <c:pt idx="5">
                  <c:v>18.624351298414101</c:v>
                </c:pt>
                <c:pt idx="6">
                  <c:v>18.454750482178198</c:v>
                </c:pt>
                <c:pt idx="7">
                  <c:v>18.8907634629177</c:v>
                </c:pt>
                <c:pt idx="8">
                  <c:v>18.634580933687602</c:v>
                </c:pt>
                <c:pt idx="9">
                  <c:v>18.059115921331301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4A-49C7-AF67-A41A87146DE9}"/>
            </c:ext>
          </c:extLst>
        </c:ser>
        <c:ser>
          <c:idx val="1"/>
          <c:order val="1"/>
          <c:tx>
            <c:strRef>
              <c:f>'July-Aug'!$F$50</c:f>
              <c:strCache>
                <c:ptCount val="1"/>
                <c:pt idx="0">
                  <c:v>Δασικές Περιοχές Σέιχ Σου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'July-Aug'!$I$51:$I$60</c:f>
              <c:numCache>
                <c:formatCode>General</c:formatCode>
                <c:ptCount val="10"/>
                <c:pt idx="0">
                  <c:v>20.4537438832755</c:v>
                </c:pt>
                <c:pt idx="1">
                  <c:v>20.056162655196999</c:v>
                </c:pt>
                <c:pt idx="2">
                  <c:v>20.002412480902802</c:v>
                </c:pt>
                <c:pt idx="3">
                  <c:v>19.497542340068001</c:v>
                </c:pt>
                <c:pt idx="4">
                  <c:v>21.079743955257101</c:v>
                </c:pt>
                <c:pt idx="5">
                  <c:v>20.397320299790799</c:v>
                </c:pt>
                <c:pt idx="6">
                  <c:v>19.3262413291835</c:v>
                </c:pt>
                <c:pt idx="7">
                  <c:v>20.266036252497301</c:v>
                </c:pt>
                <c:pt idx="8">
                  <c:v>20.303555912953598</c:v>
                </c:pt>
                <c:pt idx="9">
                  <c:v>20.713087902899101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4A-49C7-AF67-A41A87146DE9}"/>
            </c:ext>
          </c:extLst>
        </c:ser>
        <c:ser>
          <c:idx val="2"/>
          <c:order val="2"/>
          <c:tx>
            <c:strRef>
              <c:f>'July-Aug'!$F$1</c:f>
              <c:strCache>
                <c:ptCount val="1"/>
                <c:pt idx="0">
                  <c:v>Αστικές Περιοχές Θεσσαλονίκης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'July-Aug'!$I$2:$I$11</c:f>
              <c:numCache>
                <c:formatCode>General</c:formatCode>
                <c:ptCount val="10"/>
                <c:pt idx="0">
                  <c:v>23.362864077548199</c:v>
                </c:pt>
                <c:pt idx="1">
                  <c:v>22.625014505040198</c:v>
                </c:pt>
                <c:pt idx="2">
                  <c:v>23.834740075998798</c:v>
                </c:pt>
                <c:pt idx="3">
                  <c:v>22.8969366174715</c:v>
                </c:pt>
                <c:pt idx="4">
                  <c:v>24.026779397363001</c:v>
                </c:pt>
                <c:pt idx="5">
                  <c:v>23.1085790700978</c:v>
                </c:pt>
                <c:pt idx="6">
                  <c:v>22.8065931750921</c:v>
                </c:pt>
                <c:pt idx="7">
                  <c:v>23.500210777052001</c:v>
                </c:pt>
                <c:pt idx="8">
                  <c:v>23.130404079563899</c:v>
                </c:pt>
                <c:pt idx="9">
                  <c:v>23.182801417177799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4A-49C7-AF67-A41A87146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484079"/>
        <c:axId val="1900486575"/>
      </c:lineChart>
      <c:catAx>
        <c:axId val="1900484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Μήνας-Χρόνος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247477923527277"/>
              <c:y val="0.90771451460409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0486575"/>
        <c:crosses val="autoZero"/>
        <c:auto val="1"/>
        <c:lblAlgn val="ctr"/>
        <c:lblOffset val="100"/>
        <c:noMultiLvlLbl val="0"/>
      </c:catAx>
      <c:valAx>
        <c:axId val="1900486575"/>
        <c:scaling>
          <c:orientation val="minMax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baseline="0">
                    <a:effectLst/>
                  </a:rPr>
                  <a:t>Θερμοκρασία Επιφάνειας Εδάφους </a:t>
                </a:r>
                <a:r>
                  <a:rPr lang="en-US" sz="1400" b="0" i="0" baseline="0">
                    <a:effectLst/>
                  </a:rPr>
                  <a:t>°C</a:t>
                </a:r>
                <a:endParaRPr lang="el-G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04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9254965176597"/>
          <c:y val="0.94538613470749688"/>
          <c:w val="0.69264619481619916"/>
          <c:h val="3.017145771535661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LUHI Intensity Urban-Forest Thessaloniki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LUHI Intensity Day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'July-Aug'!$A$116:$A$125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'July-Aug'!$B$116:$B$125</c:f>
              <c:numCache>
                <c:formatCode>General</c:formatCode>
                <c:ptCount val="10"/>
                <c:pt idx="0">
                  <c:v>2.6938909397726007</c:v>
                </c:pt>
                <c:pt idx="1">
                  <c:v>3.9398879909007007</c:v>
                </c:pt>
                <c:pt idx="2">
                  <c:v>3.8853034055508999</c:v>
                </c:pt>
                <c:pt idx="3">
                  <c:v>3.9421610931329027</c:v>
                </c:pt>
                <c:pt idx="4">
                  <c:v>3.3653904714661991</c:v>
                </c:pt>
                <c:pt idx="5">
                  <c:v>3.3755264458831959</c:v>
                </c:pt>
                <c:pt idx="6">
                  <c:v>4.2439053544041982</c:v>
                </c:pt>
                <c:pt idx="7">
                  <c:v>5.1591231977266006</c:v>
                </c:pt>
                <c:pt idx="8">
                  <c:v>3.3889678484831975</c:v>
                </c:pt>
                <c:pt idx="9">
                  <c:v>4.1816858671787003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D-4776-BCDA-C88082CC2193}"/>
            </c:ext>
          </c:extLst>
        </c:ser>
        <c:ser>
          <c:idx val="1"/>
          <c:order val="1"/>
          <c:tx>
            <c:v>LUHI Intensity Night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'July-Aug'!$A$116:$A$125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'July-Aug'!$E$116:$E$125</c:f>
              <c:numCache>
                <c:formatCode>General</c:formatCode>
                <c:ptCount val="10"/>
                <c:pt idx="0">
                  <c:v>2.909120194272699</c:v>
                </c:pt>
                <c:pt idx="1">
                  <c:v>2.5688518498431989</c:v>
                </c:pt>
                <c:pt idx="2">
                  <c:v>3.8323275950959967</c:v>
                </c:pt>
                <c:pt idx="3">
                  <c:v>3.3993942774034984</c:v>
                </c:pt>
                <c:pt idx="4">
                  <c:v>2.9470354421059</c:v>
                </c:pt>
                <c:pt idx="5">
                  <c:v>2.7112587703070012</c:v>
                </c:pt>
                <c:pt idx="6">
                  <c:v>3.4803518459086007</c:v>
                </c:pt>
                <c:pt idx="7">
                  <c:v>3.2341745245546996</c:v>
                </c:pt>
                <c:pt idx="8">
                  <c:v>2.8268481666103007</c:v>
                </c:pt>
                <c:pt idx="9">
                  <c:v>2.4697135142786983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D-4776-BCDA-C88082CC2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504383"/>
        <c:axId val="1568505215"/>
      </c:lineChart>
      <c:catAx>
        <c:axId val="1568504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68505215"/>
        <c:crosses val="autoZero"/>
        <c:auto val="1"/>
        <c:lblAlgn val="ctr"/>
        <c:lblOffset val="100"/>
        <c:noMultiLvlLbl val="0"/>
      </c:catAx>
      <c:valAx>
        <c:axId val="156850521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baseline="0">
                    <a:effectLst/>
                  </a:rPr>
                  <a:t>Land surface temperature diffeence oC</a:t>
                </a:r>
                <a:endParaRPr lang="el-GR" sz="105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56850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LUHI Intensity Urban-Agrarian Thessaloniki</a:t>
            </a:r>
            <a:endParaRPr lang="el-GR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LUHI Intensity Day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'July-Aug'!$D$116:$D$125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'July-Aug'!$H$116:$H$125</c:f>
              <c:numCache>
                <c:formatCode>General</c:formatCode>
                <c:ptCount val="10"/>
                <c:pt idx="0">
                  <c:v>11.4411956620113</c:v>
                </c:pt>
                <c:pt idx="1">
                  <c:v>10.777574474580003</c:v>
                </c:pt>
                <c:pt idx="2">
                  <c:v>11.643183543600102</c:v>
                </c:pt>
                <c:pt idx="3">
                  <c:v>10.343528212195899</c:v>
                </c:pt>
                <c:pt idx="4">
                  <c:v>11.4073948887306</c:v>
                </c:pt>
                <c:pt idx="5">
                  <c:v>9.9857374494472992</c:v>
                </c:pt>
                <c:pt idx="6">
                  <c:v>10.185728858339601</c:v>
                </c:pt>
                <c:pt idx="7">
                  <c:v>10.737368818366296</c:v>
                </c:pt>
                <c:pt idx="8">
                  <c:v>11.300139548102397</c:v>
                </c:pt>
                <c:pt idx="9">
                  <c:v>11.493782764915895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DF-4349-A487-9C3623B99E01}"/>
            </c:ext>
          </c:extLst>
        </c:ser>
        <c:ser>
          <c:idx val="1"/>
          <c:order val="1"/>
          <c:tx>
            <c:v>LUHI Intensity Night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'July-Aug'!$D$116:$D$125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'July-Aug'!$K$116:$K$125</c:f>
              <c:numCache>
                <c:formatCode>General</c:formatCode>
                <c:ptCount val="10"/>
                <c:pt idx="0">
                  <c:v>5.1678221848596984</c:v>
                </c:pt>
                <c:pt idx="1">
                  <c:v>4.7915670169073969</c:v>
                </c:pt>
                <c:pt idx="2">
                  <c:v>4.9653775546323971</c:v>
                </c:pt>
                <c:pt idx="3">
                  <c:v>4.9966498605595007</c:v>
                </c:pt>
                <c:pt idx="4">
                  <c:v>4.8758294619277009</c:v>
                </c:pt>
                <c:pt idx="5">
                  <c:v>4.4842277716836989</c:v>
                </c:pt>
                <c:pt idx="6">
                  <c:v>4.3518426929139018</c:v>
                </c:pt>
                <c:pt idx="7">
                  <c:v>4.6094473141343002</c:v>
                </c:pt>
                <c:pt idx="8">
                  <c:v>4.4958231458762974</c:v>
                </c:pt>
                <c:pt idx="9">
                  <c:v>5.1236854958464981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DF-4349-A487-9C3623B99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803071"/>
        <c:axId val="1804808895"/>
      </c:lineChart>
      <c:catAx>
        <c:axId val="180480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4808895"/>
        <c:crosses val="autoZero"/>
        <c:auto val="1"/>
        <c:lblAlgn val="ctr"/>
        <c:lblOffset val="100"/>
        <c:noMultiLvlLbl val="0"/>
      </c:catAx>
      <c:valAx>
        <c:axId val="1804808895"/>
        <c:scaling>
          <c:orientation val="minMax"/>
          <c:max val="12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baseline="0">
                    <a:effectLst/>
                  </a:rPr>
                  <a:t>Land surface temperature diffeence oC</a:t>
                </a:r>
                <a:endParaRPr lang="el-GR" sz="5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480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800" b="0" i="0" baseline="0">
                <a:effectLst/>
              </a:rPr>
              <a:t>Μέση νυχτερινή θερμοκρασία επιφάνειας εδάφους Θεσσαλονικής</a:t>
            </a:r>
            <a:endParaRPr lang="el-G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Αγροτική Περιοχή Χαλάστρας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'July-Aug'!$A$51:$A$60</c:f>
              <c:strCache>
                <c:ptCount val="10"/>
                <c:pt idx="0">
                  <c:v>Jul-Aug 2008</c:v>
                </c:pt>
                <c:pt idx="1">
                  <c:v>Jul-Aug 2009</c:v>
                </c:pt>
                <c:pt idx="2">
                  <c:v>Jul-Aug 2010</c:v>
                </c:pt>
                <c:pt idx="3">
                  <c:v>Jul-Aug 2011</c:v>
                </c:pt>
                <c:pt idx="4">
                  <c:v>Jul-Aug 2012</c:v>
                </c:pt>
                <c:pt idx="5">
                  <c:v>Jul-Aug 2013</c:v>
                </c:pt>
                <c:pt idx="6">
                  <c:v>Jul-Aug 2014</c:v>
                </c:pt>
                <c:pt idx="7">
                  <c:v>Jul-Aug 2015</c:v>
                </c:pt>
                <c:pt idx="8">
                  <c:v>Jul-Aug 2016</c:v>
                </c:pt>
                <c:pt idx="9">
                  <c:v>Jul-Aug 2017</c:v>
                </c:pt>
              </c:strCache>
            </c:strRef>
          </c:cat>
          <c:val>
            <c:numRef>
              <c:f>'July-Aug'!$C$51:$C$60</c:f>
              <c:numCache>
                <c:formatCode>General</c:formatCode>
                <c:ptCount val="10"/>
                <c:pt idx="0">
                  <c:v>18.195041892688501</c:v>
                </c:pt>
                <c:pt idx="1">
                  <c:v>17.833447488132801</c:v>
                </c:pt>
                <c:pt idx="2">
                  <c:v>18.869362521366401</c:v>
                </c:pt>
                <c:pt idx="3">
                  <c:v>17.900286756911999</c:v>
                </c:pt>
                <c:pt idx="4">
                  <c:v>19.1509499354353</c:v>
                </c:pt>
                <c:pt idx="5">
                  <c:v>18.624351298414101</c:v>
                </c:pt>
                <c:pt idx="6">
                  <c:v>18.454750482178198</c:v>
                </c:pt>
                <c:pt idx="7">
                  <c:v>18.8907634629177</c:v>
                </c:pt>
                <c:pt idx="8">
                  <c:v>18.634580933687602</c:v>
                </c:pt>
                <c:pt idx="9">
                  <c:v>18.059115921331301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C9-41F2-8DC1-EAE91B9945AA}"/>
            </c:ext>
          </c:extLst>
        </c:ser>
        <c:ser>
          <c:idx val="2"/>
          <c:order val="1"/>
          <c:tx>
            <c:strRef>
              <c:f>'July-Aug'!$F$1</c:f>
              <c:strCache>
                <c:ptCount val="1"/>
                <c:pt idx="0">
                  <c:v>Αστικές Περιοχές Θεσσαλονίκης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'July-Aug'!$I$2:$I$11</c:f>
              <c:numCache>
                <c:formatCode>General</c:formatCode>
                <c:ptCount val="10"/>
                <c:pt idx="0">
                  <c:v>23.362864077548199</c:v>
                </c:pt>
                <c:pt idx="1">
                  <c:v>22.625014505040198</c:v>
                </c:pt>
                <c:pt idx="2">
                  <c:v>23.834740075998798</c:v>
                </c:pt>
                <c:pt idx="3">
                  <c:v>22.8969366174715</c:v>
                </c:pt>
                <c:pt idx="4">
                  <c:v>24.026779397363001</c:v>
                </c:pt>
                <c:pt idx="5">
                  <c:v>23.1085790700978</c:v>
                </c:pt>
                <c:pt idx="6">
                  <c:v>22.8065931750921</c:v>
                </c:pt>
                <c:pt idx="7">
                  <c:v>23.500210777052001</c:v>
                </c:pt>
                <c:pt idx="8">
                  <c:v>23.130404079563899</c:v>
                </c:pt>
                <c:pt idx="9">
                  <c:v>23.182801417177799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9-41F2-8DC1-EAE91B994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484079"/>
        <c:axId val="1900486575"/>
      </c:lineChart>
      <c:catAx>
        <c:axId val="1900484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Μήνας-Χρόνος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8247477923527277"/>
              <c:y val="0.90771451460409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0486575"/>
        <c:crosses val="autoZero"/>
        <c:auto val="1"/>
        <c:lblAlgn val="ctr"/>
        <c:lblOffset val="100"/>
        <c:noMultiLvlLbl val="0"/>
      </c:catAx>
      <c:valAx>
        <c:axId val="1900486575"/>
        <c:scaling>
          <c:orientation val="minMax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baseline="0">
                    <a:effectLst/>
                  </a:rPr>
                  <a:t>Θερμοκρασία Επιφάνειας Εδάφους </a:t>
                </a:r>
                <a:r>
                  <a:rPr lang="en-US" sz="1400" b="0" i="0" baseline="0">
                    <a:effectLst/>
                  </a:rPr>
                  <a:t>°C</a:t>
                </a:r>
                <a:endParaRPr lang="el-GR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9004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49254965176597"/>
          <c:y val="0.94538613470749688"/>
          <c:w val="0.69264619481619916"/>
          <c:h val="3.017145771535661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000" b="0" i="0" baseline="0">
                <a:effectLst/>
              </a:rPr>
              <a:t>Μέση ημερήσια θερμοκρασία επιφάνειας εδάφους Θεσσαλονίκης</a:t>
            </a:r>
            <a:endParaRPr lang="el-GR" sz="8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Αστικές Περιοχές Θεσσαλονίκης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'Nov-Dec'!$G$27:$G$36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'Nov-Dec'!$C$2:$C$11</c:f>
              <c:numCache>
                <c:formatCode>General</c:formatCode>
                <c:ptCount val="10"/>
                <c:pt idx="0">
                  <c:v>14.248717971027601</c:v>
                </c:pt>
                <c:pt idx="1">
                  <c:v>17.262781036384599</c:v>
                </c:pt>
                <c:pt idx="2">
                  <c:v>13.983657052459201</c:v>
                </c:pt>
                <c:pt idx="3">
                  <c:v>12.8079651990329</c:v>
                </c:pt>
                <c:pt idx="4">
                  <c:v>11.738638240526299</c:v>
                </c:pt>
                <c:pt idx="5">
                  <c:v>13.5879413444984</c:v>
                </c:pt>
                <c:pt idx="6">
                  <c:v>13.813419069249999</c:v>
                </c:pt>
                <c:pt idx="7">
                  <c:v>16.8536046887636</c:v>
                </c:pt>
                <c:pt idx="8">
                  <c:v>14.2716187303091</c:v>
                </c:pt>
                <c:pt idx="9">
                  <c:v>13.0091513326794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1-435E-AF69-B8BDAF7A2E6F}"/>
            </c:ext>
          </c:extLst>
        </c:ser>
        <c:ser>
          <c:idx val="2"/>
          <c:order val="1"/>
          <c:tx>
            <c:v>Αγροτική Περιοχή Χαλάστρας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'Nov-Dec'!$G$27:$G$36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'Nov-Dec'!$C$27:$C$36</c:f>
              <c:numCache>
                <c:formatCode>General</c:formatCode>
                <c:ptCount val="10"/>
                <c:pt idx="0">
                  <c:v>12.531017789629599</c:v>
                </c:pt>
                <c:pt idx="1">
                  <c:v>15.5507956615117</c:v>
                </c:pt>
                <c:pt idx="2">
                  <c:v>13.4141035911702</c:v>
                </c:pt>
                <c:pt idx="3">
                  <c:v>12.4080029773812</c:v>
                </c:pt>
                <c:pt idx="4">
                  <c:v>12.516865662558899</c:v>
                </c:pt>
                <c:pt idx="5">
                  <c:v>12.706647974671</c:v>
                </c:pt>
                <c:pt idx="6">
                  <c:v>14.112171643737399</c:v>
                </c:pt>
                <c:pt idx="7">
                  <c:v>15.5384211347163</c:v>
                </c:pt>
                <c:pt idx="8">
                  <c:v>13.3681913406806</c:v>
                </c:pt>
                <c:pt idx="9">
                  <c:v>12.304595156722799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1-435E-AF69-B8BDAF7A2E6F}"/>
            </c:ext>
          </c:extLst>
        </c:ser>
        <c:ser>
          <c:idx val="1"/>
          <c:order val="2"/>
          <c:tx>
            <c:v>Δασικές Περιοχές Σέιχ Σου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'Nov-Dec'!$G$27:$G$36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'Nov-Dec'!$I$27:$I$36</c:f>
              <c:numCache>
                <c:formatCode>General</c:formatCode>
                <c:ptCount val="10"/>
                <c:pt idx="0">
                  <c:v>13.745689033308301</c:v>
                </c:pt>
                <c:pt idx="1">
                  <c:v>17.152327665394999</c:v>
                </c:pt>
                <c:pt idx="2">
                  <c:v>11.2300924629023</c:v>
                </c:pt>
                <c:pt idx="3">
                  <c:v>10.3020069917401</c:v>
                </c:pt>
                <c:pt idx="4">
                  <c:v>10.5543346170987</c:v>
                </c:pt>
                <c:pt idx="5">
                  <c:v>13.488995305990001</c:v>
                </c:pt>
                <c:pt idx="6">
                  <c:v>11.5715560485427</c:v>
                </c:pt>
                <c:pt idx="7">
                  <c:v>14.1909076604354</c:v>
                </c:pt>
                <c:pt idx="8">
                  <c:v>11.662089026807701</c:v>
                </c:pt>
                <c:pt idx="9">
                  <c:v>11.441965378600001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1-435E-AF69-B8BDAF7A2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258928"/>
        <c:axId val="1225261424"/>
      </c:lineChart>
      <c:catAx>
        <c:axId val="1225258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Μήνας-Χρόνος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25261424"/>
        <c:crosses val="autoZero"/>
        <c:auto val="1"/>
        <c:lblAlgn val="ctr"/>
        <c:lblOffset val="100"/>
        <c:noMultiLvlLbl val="0"/>
      </c:catAx>
      <c:valAx>
        <c:axId val="1225261424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Θερμοκρασία Επιφάνειας Εδάφους </a:t>
                </a:r>
                <a:r>
                  <a:rPr lang="en-US" sz="1000" b="0" i="0" baseline="0">
                    <a:effectLst/>
                  </a:rPr>
                  <a:t>°C</a:t>
                </a:r>
                <a:endParaRPr lang="el-GR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2525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Μέση νυχτερινή θερμοκρασία επιφάνειας</a:t>
            </a:r>
            <a:r>
              <a:rPr lang="el-GR" baseline="0"/>
              <a:t> εδάφους Θεσσαλονίκης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Αστικές Περιοχές Θεσσαλονίκης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'Nov-Dec'!$A$27:$A$36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'Nov-Dec'!$I$2:$I$11</c:f>
              <c:numCache>
                <c:formatCode>General</c:formatCode>
                <c:ptCount val="10"/>
                <c:pt idx="0">
                  <c:v>7.2999868892127697</c:v>
                </c:pt>
                <c:pt idx="1">
                  <c:v>7.6240319970420796</c:v>
                </c:pt>
                <c:pt idx="2">
                  <c:v>8.0015175333690305</c:v>
                </c:pt>
                <c:pt idx="3">
                  <c:v>4.8173510736862397</c:v>
                </c:pt>
                <c:pt idx="4">
                  <c:v>5.37433965492085</c:v>
                </c:pt>
                <c:pt idx="5">
                  <c:v>6.0354517528837404</c:v>
                </c:pt>
                <c:pt idx="6">
                  <c:v>6.2795433026062799</c:v>
                </c:pt>
                <c:pt idx="7">
                  <c:v>8.5165315360422706</c:v>
                </c:pt>
                <c:pt idx="8">
                  <c:v>5.1848264898096001</c:v>
                </c:pt>
                <c:pt idx="9">
                  <c:v>5.2730972571058796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3A-45A4-8664-2FF987C3684E}"/>
            </c:ext>
          </c:extLst>
        </c:ser>
        <c:ser>
          <c:idx val="2"/>
          <c:order val="1"/>
          <c:tx>
            <c:v>Δασικές Περιοχές Σέιχ Σου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'Nov-Dec'!$A$27:$A$36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'Nov-Dec'!$I$39:$I$48</c:f>
              <c:numCache>
                <c:formatCode>General</c:formatCode>
                <c:ptCount val="10"/>
                <c:pt idx="0">
                  <c:v>5.6365138802656203</c:v>
                </c:pt>
                <c:pt idx="1">
                  <c:v>6.7443823678391004</c:v>
                </c:pt>
                <c:pt idx="2">
                  <c:v>6.1099988972997004</c:v>
                </c:pt>
                <c:pt idx="3">
                  <c:v>2.82372941851493</c:v>
                </c:pt>
                <c:pt idx="4">
                  <c:v>3.7573561625336098</c:v>
                </c:pt>
                <c:pt idx="5">
                  <c:v>4.8963003728172998</c:v>
                </c:pt>
                <c:pt idx="6">
                  <c:v>5.3126709176989504</c:v>
                </c:pt>
                <c:pt idx="7">
                  <c:v>8.3590273637884795</c:v>
                </c:pt>
                <c:pt idx="8">
                  <c:v>3.7723828704356399</c:v>
                </c:pt>
                <c:pt idx="9">
                  <c:v>3.96478164896698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3A-45A4-8664-2FF987C3684E}"/>
            </c:ext>
          </c:extLst>
        </c:ser>
        <c:ser>
          <c:idx val="1"/>
          <c:order val="2"/>
          <c:tx>
            <c:v>Αγροτική Περιοχή Χαλάστρας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'Nov-Dec'!$A$27:$A$36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'Nov-Dec'!$C$39:$C$48</c:f>
              <c:numCache>
                <c:formatCode>General</c:formatCode>
                <c:ptCount val="10"/>
                <c:pt idx="0">
                  <c:v>2.6746309395314198</c:v>
                </c:pt>
                <c:pt idx="1">
                  <c:v>3.85885429774584</c:v>
                </c:pt>
                <c:pt idx="2">
                  <c:v>4.2672044560684403</c:v>
                </c:pt>
                <c:pt idx="3">
                  <c:v>0.85699731583251504</c:v>
                </c:pt>
                <c:pt idx="4">
                  <c:v>3.9419967842292198</c:v>
                </c:pt>
                <c:pt idx="5">
                  <c:v>1.4845007192967301</c:v>
                </c:pt>
                <c:pt idx="6">
                  <c:v>4.6741542358448198</c:v>
                </c:pt>
                <c:pt idx="7">
                  <c:v>4.12034840188314</c:v>
                </c:pt>
                <c:pt idx="8">
                  <c:v>0.224347534596508</c:v>
                </c:pt>
                <c:pt idx="9">
                  <c:v>1.0178395826092199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3A-45A4-8664-2FF987C36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250608"/>
        <c:axId val="1225256432"/>
      </c:lineChart>
      <c:catAx>
        <c:axId val="122525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Μήνας-Χρόνος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25256432"/>
        <c:crosses val="autoZero"/>
        <c:auto val="1"/>
        <c:lblAlgn val="ctr"/>
        <c:lblOffset val="100"/>
        <c:noMultiLvlLbl val="0"/>
      </c:catAx>
      <c:valAx>
        <c:axId val="122525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baseline="0">
                    <a:effectLst/>
                  </a:rPr>
                  <a:t>Θερμοκρασία Επιφάνειας Εδάφους </a:t>
                </a:r>
                <a:r>
                  <a:rPr lang="en-US" sz="1000" b="0" i="0" baseline="0">
                    <a:effectLst/>
                  </a:rPr>
                  <a:t>°C</a:t>
                </a:r>
                <a:endParaRPr lang="el-GR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2525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LUHI Intensity over Thessaloniki Nov-Dec 8-17 </a:t>
            </a:r>
            <a:endParaRPr lang="el-GR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'Nov-Dec'!$I$51</c:f>
              <c:strCache>
                <c:ptCount val="1"/>
                <c:pt idx="0">
                  <c:v>LUHI Intensity 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'Nov-Dec'!$B$52:$B$61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'Nov-Dec'!$I$52:$I$61</c:f>
              <c:numCache>
                <c:formatCode>General</c:formatCode>
                <c:ptCount val="10"/>
                <c:pt idx="0">
                  <c:v>2.4866983702497798</c:v>
                </c:pt>
                <c:pt idx="1">
                  <c:v>1.6816529276393997</c:v>
                </c:pt>
                <c:pt idx="2">
                  <c:v>2.4037046846216201</c:v>
                </c:pt>
                <c:pt idx="3">
                  <c:v>2.5402549213107499</c:v>
                </c:pt>
                <c:pt idx="4">
                  <c:v>1.5656645018842501</c:v>
                </c:pt>
                <c:pt idx="5">
                  <c:v>2.0874265343051301</c:v>
                </c:pt>
                <c:pt idx="6">
                  <c:v>1.1443416288426898</c:v>
                </c:pt>
                <c:pt idx="7">
                  <c:v>1.3356020544730702</c:v>
                </c:pt>
                <c:pt idx="8">
                  <c:v>2.3985841015284102</c:v>
                </c:pt>
                <c:pt idx="9">
                  <c:v>2.1273883047505797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A-4414-B4BD-ACA203EA8216}"/>
            </c:ext>
          </c:extLst>
        </c:ser>
        <c:ser>
          <c:idx val="1"/>
          <c:order val="1"/>
          <c:tx>
            <c:strRef>
              <c:f>'Nov-Dec'!$C$51</c:f>
              <c:strCache>
                <c:ptCount val="1"/>
                <c:pt idx="0">
                  <c:v>LUHI Intensity Day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'Nov-Dec'!$B$52:$B$61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'Nov-Dec'!$C$52:$C$61</c:f>
              <c:numCache>
                <c:formatCode>General</c:formatCode>
                <c:ptCount val="10"/>
                <c:pt idx="0">
                  <c:v>0.84063450601820122</c:v>
                </c:pt>
                <c:pt idx="1">
                  <c:v>0.5555829689228986</c:v>
                </c:pt>
                <c:pt idx="2">
                  <c:v>2.1465408191605011</c:v>
                </c:pt>
                <c:pt idx="3">
                  <c:v>1.9206179555435003</c:v>
                </c:pt>
                <c:pt idx="4">
                  <c:v>0.63883799858889923</c:v>
                </c:pt>
                <c:pt idx="5">
                  <c:v>0.31639155454540102</c:v>
                </c:pt>
                <c:pt idx="6">
                  <c:v>1.5357246509151992</c:v>
                </c:pt>
                <c:pt idx="7">
                  <c:v>2.2881693076445</c:v>
                </c:pt>
                <c:pt idx="8">
                  <c:v>2.1353358471400998</c:v>
                </c:pt>
                <c:pt idx="9">
                  <c:v>1.3274267451655994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5A-4414-B4BD-ACA203EA8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379568"/>
        <c:axId val="1308379984"/>
      </c:lineChart>
      <c:catAx>
        <c:axId val="1308379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08379984"/>
        <c:crosses val="autoZero"/>
        <c:auto val="1"/>
        <c:lblAlgn val="ctr"/>
        <c:lblOffset val="100"/>
        <c:noMultiLvlLbl val="0"/>
      </c:catAx>
      <c:valAx>
        <c:axId val="13083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Land surface temperature diffeence oC</a:t>
                </a:r>
                <a:endParaRPr lang="el-GR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0837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LUHI Intensity Urban-Forest Thessaloniki</a:t>
            </a:r>
            <a:endParaRPr lang="el-GR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LUHI Intensity Day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'Nov-Dec'!$E$70:$E$79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'Nov-Dec'!$C$70:$C$79</c:f>
              <c:numCache>
                <c:formatCode>General</c:formatCode>
                <c:ptCount val="10"/>
                <c:pt idx="0">
                  <c:v>0.50302893771930002</c:v>
                </c:pt>
                <c:pt idx="1">
                  <c:v>0.11045337098959962</c:v>
                </c:pt>
                <c:pt idx="2">
                  <c:v>2.7535645895569001</c:v>
                </c:pt>
                <c:pt idx="3">
                  <c:v>2.5059582072927995</c:v>
                </c:pt>
                <c:pt idx="4">
                  <c:v>1.1843036234275992</c:v>
                </c:pt>
                <c:pt idx="5">
                  <c:v>9.8946038508399781E-2</c:v>
                </c:pt>
                <c:pt idx="6">
                  <c:v>2.2418630207072994</c:v>
                </c:pt>
                <c:pt idx="7">
                  <c:v>2.6626970283281999</c:v>
                </c:pt>
                <c:pt idx="8">
                  <c:v>2.6095297035013996</c:v>
                </c:pt>
                <c:pt idx="9">
                  <c:v>1.5671859540793989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98-4A6A-86DA-D2F6ED79FC70}"/>
            </c:ext>
          </c:extLst>
        </c:ser>
        <c:ser>
          <c:idx val="1"/>
          <c:order val="1"/>
          <c:tx>
            <c:v>LUHI Intensity Night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'Nov-Dec'!$E$70:$E$79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'Nov-Dec'!$F$70:$F$79</c:f>
              <c:numCache>
                <c:formatCode>General</c:formatCode>
                <c:ptCount val="10"/>
                <c:pt idx="0">
                  <c:v>1.6634730089471494</c:v>
                </c:pt>
                <c:pt idx="1">
                  <c:v>0.87964962920297918</c:v>
                </c:pt>
                <c:pt idx="2">
                  <c:v>1.8915186360693301</c:v>
                </c:pt>
                <c:pt idx="3">
                  <c:v>1.9936216551713097</c:v>
                </c:pt>
                <c:pt idx="4">
                  <c:v>1.6169834923872402</c:v>
                </c:pt>
                <c:pt idx="5">
                  <c:v>1.1391513800664406</c:v>
                </c:pt>
                <c:pt idx="6">
                  <c:v>0.96687238490732952</c:v>
                </c:pt>
                <c:pt idx="7">
                  <c:v>0.1575041722537911</c:v>
                </c:pt>
                <c:pt idx="8">
                  <c:v>1.4124436193739602</c:v>
                </c:pt>
                <c:pt idx="9">
                  <c:v>1.3083156081388996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98-4A6A-86DA-D2F6ED79F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808479"/>
        <c:axId val="1804800991"/>
      </c:lineChart>
      <c:catAx>
        <c:axId val="180480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effectLst/>
                  </a:rPr>
                  <a:t>Month-Year</a:t>
                </a:r>
                <a:endParaRPr lang="el-GR" sz="6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4800991"/>
        <c:crosses val="autoZero"/>
        <c:auto val="1"/>
        <c:lblAlgn val="ctr"/>
        <c:lblOffset val="100"/>
        <c:noMultiLvlLbl val="0"/>
      </c:catAx>
      <c:valAx>
        <c:axId val="180480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baseline="0">
                    <a:effectLst/>
                  </a:rPr>
                  <a:t>Land surface temperature diffeence oC</a:t>
                </a:r>
                <a:endParaRPr lang="el-GR" sz="5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480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LUHI Intensity Urban-Agrarian Thessaloniki</a:t>
            </a:r>
            <a:endParaRPr lang="el-GR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LUHI Intensity Day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'Nov-Dec'!$H$70:$H$79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'Nov-Dec'!$I$70:$I$79</c:f>
              <c:numCache>
                <c:formatCode>General</c:formatCode>
                <c:ptCount val="10"/>
                <c:pt idx="0">
                  <c:v>1.7177001813980013</c:v>
                </c:pt>
                <c:pt idx="1">
                  <c:v>1.7119853748728993</c:v>
                </c:pt>
                <c:pt idx="2">
                  <c:v>0.56955346128900075</c:v>
                </c:pt>
                <c:pt idx="3">
                  <c:v>0.39996222165170003</c:v>
                </c:pt>
                <c:pt idx="4">
                  <c:v>-0.7782274220326002</c:v>
                </c:pt>
                <c:pt idx="5">
                  <c:v>0.88129336982740014</c:v>
                </c:pt>
                <c:pt idx="6">
                  <c:v>-0.29875257448740022</c:v>
                </c:pt>
                <c:pt idx="7">
                  <c:v>1.3151835540472998</c:v>
                </c:pt>
                <c:pt idx="8">
                  <c:v>0.90342738962850078</c:v>
                </c:pt>
                <c:pt idx="9">
                  <c:v>0.70455617595660058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84-4F97-88AA-A4008095BD38}"/>
            </c:ext>
          </c:extLst>
        </c:ser>
        <c:ser>
          <c:idx val="1"/>
          <c:order val="1"/>
          <c:tx>
            <c:v>LUHI Intensity Night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'Nov-Dec'!$H$70:$H$79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'Nov-Dec'!$L$70:$L$79</c:f>
              <c:numCache>
                <c:formatCode>General</c:formatCode>
                <c:ptCount val="10"/>
                <c:pt idx="0">
                  <c:v>4.6253559496813494</c:v>
                </c:pt>
                <c:pt idx="1">
                  <c:v>3.7651776992962396</c:v>
                </c:pt>
                <c:pt idx="2">
                  <c:v>3.7343130773005901</c:v>
                </c:pt>
                <c:pt idx="3">
                  <c:v>3.9603537578537247</c:v>
                </c:pt>
                <c:pt idx="4">
                  <c:v>1.4323428706916301</c:v>
                </c:pt>
                <c:pt idx="5">
                  <c:v>4.55095103358701</c:v>
                </c:pt>
                <c:pt idx="6">
                  <c:v>1.6053890667614601</c:v>
                </c:pt>
                <c:pt idx="7">
                  <c:v>4.3961831341591306</c:v>
                </c:pt>
                <c:pt idx="8">
                  <c:v>4.9604789552130919</c:v>
                </c:pt>
                <c:pt idx="9">
                  <c:v>4.2552576744966597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84-4F97-88AA-A4008095B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805983"/>
        <c:axId val="1804801407"/>
      </c:lineChart>
      <c:catAx>
        <c:axId val="1804805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4801407"/>
        <c:crosses val="autoZero"/>
        <c:auto val="1"/>
        <c:lblAlgn val="ctr"/>
        <c:lblOffset val="100"/>
        <c:noMultiLvlLbl val="0"/>
      </c:catAx>
      <c:valAx>
        <c:axId val="1804801407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0" i="0" baseline="0">
                    <a:effectLst/>
                  </a:rPr>
                  <a:t>Land surface temperature diffeence oC</a:t>
                </a:r>
                <a:endParaRPr lang="el-GR" sz="5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80480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Nighttime Mean Land Surface Temperature over Thessaloniki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Αστικές Περιοχές Θεσσαλονίκης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'Nov-Dec'!$A$27:$A$36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'Nov-Dec'!$I$2:$I$11</c:f>
              <c:numCache>
                <c:formatCode>General</c:formatCode>
                <c:ptCount val="10"/>
                <c:pt idx="0">
                  <c:v>7.2999868892127697</c:v>
                </c:pt>
                <c:pt idx="1">
                  <c:v>7.6240319970420796</c:v>
                </c:pt>
                <c:pt idx="2">
                  <c:v>8.0015175333690305</c:v>
                </c:pt>
                <c:pt idx="3">
                  <c:v>4.8173510736862397</c:v>
                </c:pt>
                <c:pt idx="4">
                  <c:v>5.37433965492085</c:v>
                </c:pt>
                <c:pt idx="5">
                  <c:v>6.0354517528837404</c:v>
                </c:pt>
                <c:pt idx="6">
                  <c:v>6.2795433026062799</c:v>
                </c:pt>
                <c:pt idx="7">
                  <c:v>8.5165315360422706</c:v>
                </c:pt>
                <c:pt idx="8">
                  <c:v>5.1848264898096001</c:v>
                </c:pt>
                <c:pt idx="9">
                  <c:v>5.2730972571058796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F-48CF-9A5E-813D2092FF21}"/>
            </c:ext>
          </c:extLst>
        </c:ser>
        <c:ser>
          <c:idx val="1"/>
          <c:order val="1"/>
          <c:tx>
            <c:v>Αγροτική Περιοχή Χαλάστρας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'Nov-Dec'!$A$27:$A$36</c:f>
              <c:strCache>
                <c:ptCount val="10"/>
                <c:pt idx="0">
                  <c:v>Nov-Dec 2008</c:v>
                </c:pt>
                <c:pt idx="1">
                  <c:v>Nov-Dec 2009</c:v>
                </c:pt>
                <c:pt idx="2">
                  <c:v>Nov-Dec 2010</c:v>
                </c:pt>
                <c:pt idx="3">
                  <c:v>Nov-Dec 2011</c:v>
                </c:pt>
                <c:pt idx="4">
                  <c:v>Nov-Dec 2012</c:v>
                </c:pt>
                <c:pt idx="5">
                  <c:v>Nov-Dec 2013</c:v>
                </c:pt>
                <c:pt idx="6">
                  <c:v>Nov-Dec 2014</c:v>
                </c:pt>
                <c:pt idx="7">
                  <c:v>Nov-Dec 2015</c:v>
                </c:pt>
                <c:pt idx="8">
                  <c:v>Nov-Dec 2016</c:v>
                </c:pt>
                <c:pt idx="9">
                  <c:v>Nov-Dec 2017</c:v>
                </c:pt>
              </c:strCache>
            </c:strRef>
          </c:cat>
          <c:val>
            <c:numRef>
              <c:f>'Nov-Dec'!$C$27:$C$36</c:f>
              <c:numCache>
                <c:formatCode>General</c:formatCode>
                <c:ptCount val="10"/>
                <c:pt idx="0">
                  <c:v>12.531017789629599</c:v>
                </c:pt>
                <c:pt idx="1">
                  <c:v>15.5507956615117</c:v>
                </c:pt>
                <c:pt idx="2">
                  <c:v>13.4141035911702</c:v>
                </c:pt>
                <c:pt idx="3">
                  <c:v>12.4080029773812</c:v>
                </c:pt>
                <c:pt idx="4">
                  <c:v>12.516865662558899</c:v>
                </c:pt>
                <c:pt idx="5">
                  <c:v>12.706647974671</c:v>
                </c:pt>
                <c:pt idx="6">
                  <c:v>14.112171643737399</c:v>
                </c:pt>
                <c:pt idx="7">
                  <c:v>15.5384211347163</c:v>
                </c:pt>
                <c:pt idx="8">
                  <c:v>13.3681913406806</c:v>
                </c:pt>
                <c:pt idx="9">
                  <c:v>12.304595156722799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CF-48CF-9A5E-813D2092F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250608"/>
        <c:axId val="1225256432"/>
      </c:lineChart>
      <c:catAx>
        <c:axId val="12252506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25256432"/>
        <c:crosses val="autoZero"/>
        <c:auto val="1"/>
        <c:lblAlgn val="ctr"/>
        <c:lblOffset val="100"/>
        <c:noMultiLvlLbl val="0"/>
      </c:catAx>
      <c:valAx>
        <c:axId val="1225256432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 Surface Temperature oC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22525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502920</xdr:colOff>
      <xdr:row>4</xdr:row>
      <xdr:rowOff>64770</xdr:rowOff>
    </xdr:from>
    <xdr:to>
      <xdr:col>19</xdr:col>
      <xdr:colOff>198120</xdr:colOff>
      <xdr:row>19</xdr:row>
      <xdr:rowOff>64770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289560</xdr:colOff>
      <xdr:row>18</xdr:row>
      <xdr:rowOff>133350</xdr:rowOff>
    </xdr:from>
    <xdr:to>
      <xdr:col>19</xdr:col>
      <xdr:colOff>594360</xdr:colOff>
      <xdr:row>33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480060</xdr:colOff>
      <xdr:row>35</xdr:row>
      <xdr:rowOff>57150</xdr:rowOff>
    </xdr:from>
    <xdr:to>
      <xdr:col>20</xdr:col>
      <xdr:colOff>175260</xdr:colOff>
      <xdr:row>50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266700</xdr:colOff>
      <xdr:row>18</xdr:row>
      <xdr:rowOff>133350</xdr:rowOff>
    </xdr:from>
    <xdr:to>
      <xdr:col>27</xdr:col>
      <xdr:colOff>571500</xdr:colOff>
      <xdr:row>33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403860</xdr:colOff>
      <xdr:row>13</xdr:row>
      <xdr:rowOff>118110</xdr:rowOff>
    </xdr:from>
    <xdr:to>
      <xdr:col>18</xdr:col>
      <xdr:colOff>99060</xdr:colOff>
      <xdr:row>28</xdr:row>
      <xdr:rowOff>118110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487680</xdr:colOff>
      <xdr:row>50</xdr:row>
      <xdr:rowOff>102870</xdr:rowOff>
    </xdr:from>
    <xdr:to>
      <xdr:col>20</xdr:col>
      <xdr:colOff>182880</xdr:colOff>
      <xdr:row>65</xdr:row>
      <xdr:rowOff>102870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502920</xdr:colOff>
      <xdr:row>65</xdr:row>
      <xdr:rowOff>110490</xdr:rowOff>
    </xdr:from>
    <xdr:to>
      <xdr:col>20</xdr:col>
      <xdr:colOff>198120</xdr:colOff>
      <xdr:row>80</xdr:row>
      <xdr:rowOff>110490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403860</xdr:colOff>
      <xdr:row>50</xdr:row>
      <xdr:rowOff>72390</xdr:rowOff>
    </xdr:from>
    <xdr:to>
      <xdr:col>28</xdr:col>
      <xdr:colOff>99060</xdr:colOff>
      <xdr:row>65</xdr:row>
      <xdr:rowOff>72390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388620</xdr:colOff>
      <xdr:row>65</xdr:row>
      <xdr:rowOff>156210</xdr:rowOff>
    </xdr:from>
    <xdr:to>
      <xdr:col>28</xdr:col>
      <xdr:colOff>83820</xdr:colOff>
      <xdr:row>80</xdr:row>
      <xdr:rowOff>156210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30480</xdr:colOff>
      <xdr:row>69</xdr:row>
      <xdr:rowOff>0</xdr:rowOff>
    </xdr:from>
    <xdr:to>
      <xdr:col>11</xdr:col>
      <xdr:colOff>22860</xdr:colOff>
      <xdr:row>87</xdr:row>
      <xdr:rowOff>125730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403860</xdr:colOff>
      <xdr:row>88</xdr:row>
      <xdr:rowOff>34290</xdr:rowOff>
    </xdr:from>
    <xdr:to>
      <xdr:col>11</xdr:col>
      <xdr:colOff>594360</xdr:colOff>
      <xdr:row>110</xdr:row>
      <xdr:rowOff>167640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125</xdr:row>
      <xdr:rowOff>118110</xdr:rowOff>
    </xdr:from>
    <xdr:to>
      <xdr:col>5</xdr:col>
      <xdr:colOff>426720</xdr:colOff>
      <xdr:row>140</xdr:row>
      <xdr:rowOff>118110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480060</xdr:colOff>
      <xdr:row>125</xdr:row>
      <xdr:rowOff>110490</xdr:rowOff>
    </xdr:from>
    <xdr:to>
      <xdr:col>13</xdr:col>
      <xdr:colOff>152400</xdr:colOff>
      <xdr:row>140</xdr:row>
      <xdr:rowOff>110490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533400</xdr:colOff>
      <xdr:row>82</xdr:row>
      <xdr:rowOff>99060</xdr:rowOff>
    </xdr:from>
    <xdr:to>
      <xdr:col>19</xdr:col>
      <xdr:colOff>266700</xdr:colOff>
      <xdr:row>105</xdr:row>
      <xdr:rowOff>49530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548640</xdr:colOff>
      <xdr:row>16</xdr:row>
      <xdr:rowOff>72390</xdr:rowOff>
    </xdr:from>
    <xdr:to>
      <xdr:col>20</xdr:col>
      <xdr:colOff>83820</xdr:colOff>
      <xdr:row>31</xdr:row>
      <xdr:rowOff>72390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563880</xdr:colOff>
      <xdr:row>32</xdr:row>
      <xdr:rowOff>76200</xdr:rowOff>
    </xdr:from>
    <xdr:to>
      <xdr:col>20</xdr:col>
      <xdr:colOff>175260</xdr:colOff>
      <xdr:row>51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563880</xdr:colOff>
      <xdr:row>51</xdr:row>
      <xdr:rowOff>26670</xdr:rowOff>
    </xdr:from>
    <xdr:to>
      <xdr:col>20</xdr:col>
      <xdr:colOff>190500</xdr:colOff>
      <xdr:row>67</xdr:row>
      <xdr:rowOff>175260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79</xdr:row>
      <xdr:rowOff>72390</xdr:rowOff>
    </xdr:from>
    <xdr:to>
      <xdr:col>6</xdr:col>
      <xdr:colOff>419100</xdr:colOff>
      <xdr:row>94</xdr:row>
      <xdr:rowOff>72390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495300</xdr:colOff>
      <xdr:row>79</xdr:row>
      <xdr:rowOff>64770</xdr:rowOff>
    </xdr:from>
    <xdr:to>
      <xdr:col>14</xdr:col>
      <xdr:colOff>457200</xdr:colOff>
      <xdr:row>94</xdr:row>
      <xdr:rowOff>99060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22860</xdr:colOff>
      <xdr:row>65</xdr:row>
      <xdr:rowOff>114300</xdr:rowOff>
    </xdr:from>
    <xdr:to>
      <xdr:col>7</xdr:col>
      <xdr:colOff>678180</xdr:colOff>
      <xdr:row>84</xdr:row>
      <xdr:rowOff>57150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5"/>
  <sheetViews>
    <sheetView workbookViewId="0">
      <selection activeCell="F5" sqref="F5"/>
    </sheetView>
  </sheetViews>
  <sheetFormatPr defaultRowHeight="14.4" x14ac:dyDescent="0.3"/>
  <cols>
    <col min="1" max="1" width="20" customWidth="1"/>
    <col min="7" max="7" width="12" customWidth="1"/>
  </cols>
  <sheetData>
    <row r="1" spans="1:22" x14ac:dyDescent="0.3">
      <c r="A1" t="s">
        <v>46</v>
      </c>
      <c r="B1" t="s">
        <v>0</v>
      </c>
      <c r="C1" t="s">
        <v>3</v>
      </c>
      <c r="D1" t="s">
        <v>4</v>
      </c>
      <c r="F1" t="s">
        <v>50</v>
      </c>
      <c r="H1" t="s">
        <v>0</v>
      </c>
      <c r="I1" t="s">
        <v>3</v>
      </c>
      <c r="J1" t="s">
        <v>4</v>
      </c>
      <c r="M1" t="s">
        <v>2</v>
      </c>
      <c r="N1" t="s">
        <v>0</v>
      </c>
      <c r="O1" t="s">
        <v>3</v>
      </c>
      <c r="P1" t="s">
        <v>4</v>
      </c>
      <c r="R1" t="s">
        <v>1</v>
      </c>
      <c r="T1" t="s">
        <v>0</v>
      </c>
      <c r="U1" t="s">
        <v>3</v>
      </c>
      <c r="V1" t="s">
        <v>4</v>
      </c>
    </row>
    <row r="2" spans="1:22" x14ac:dyDescent="0.3">
      <c r="A2" t="s">
        <v>8</v>
      </c>
      <c r="B2" s="1">
        <v>43.317500000000003</v>
      </c>
      <c r="C2" s="1">
        <v>40.2630517814424</v>
      </c>
      <c r="D2" s="1">
        <v>36.5566666666667</v>
      </c>
      <c r="G2" t="s">
        <v>8</v>
      </c>
      <c r="H2" s="1">
        <v>24.4267741935484</v>
      </c>
      <c r="I2" s="1">
        <v>23.362864077548199</v>
      </c>
      <c r="J2" s="1">
        <v>21.107872340425502</v>
      </c>
      <c r="M2" s="2" t="s">
        <v>7</v>
      </c>
      <c r="N2" s="1">
        <v>42.537530120481897</v>
      </c>
      <c r="O2" s="1">
        <v>40.0853027302418</v>
      </c>
      <c r="P2" s="1">
        <v>36.929220779220799</v>
      </c>
      <c r="S2" s="2" t="s">
        <v>7</v>
      </c>
      <c r="T2" s="1">
        <v>23.9988397790055</v>
      </c>
      <c r="U2" s="1">
        <v>23.260130778961301</v>
      </c>
      <c r="V2" s="1">
        <v>21.2749846153846</v>
      </c>
    </row>
    <row r="3" spans="1:22" x14ac:dyDescent="0.3">
      <c r="A3" t="s">
        <v>9</v>
      </c>
      <c r="B3" s="1">
        <v>41.470666666666702</v>
      </c>
      <c r="C3" s="1">
        <v>39.196534492278602</v>
      </c>
      <c r="D3" s="1">
        <v>36.418148148148099</v>
      </c>
      <c r="G3" t="s">
        <v>9</v>
      </c>
      <c r="H3" s="1">
        <v>23.674666666666599</v>
      </c>
      <c r="I3" s="1">
        <v>22.625014505040198</v>
      </c>
      <c r="J3" s="1">
        <v>20.89</v>
      </c>
    </row>
    <row r="4" spans="1:22" x14ac:dyDescent="0.3">
      <c r="A4" t="s">
        <v>10</v>
      </c>
      <c r="B4" s="1">
        <v>42.604285714285702</v>
      </c>
      <c r="C4" s="1">
        <v>40.129252495568501</v>
      </c>
      <c r="D4" s="1">
        <v>37.111481481481498</v>
      </c>
      <c r="G4" t="s">
        <v>10</v>
      </c>
      <c r="H4" s="1">
        <v>24.786428571428502</v>
      </c>
      <c r="I4" s="1">
        <v>23.834740075998798</v>
      </c>
      <c r="J4" s="1">
        <v>21.928823529411702</v>
      </c>
    </row>
    <row r="5" spans="1:22" x14ac:dyDescent="0.3">
      <c r="A5" t="s">
        <v>11</v>
      </c>
      <c r="B5" s="1">
        <v>42.076153846153801</v>
      </c>
      <c r="C5" s="1">
        <v>39.501863595377401</v>
      </c>
      <c r="D5" s="1">
        <v>36.535454545454499</v>
      </c>
      <c r="G5" t="s">
        <v>11</v>
      </c>
      <c r="H5" s="1">
        <v>23.7588235294117</v>
      </c>
      <c r="I5" s="1">
        <v>22.8969366174715</v>
      </c>
      <c r="J5" s="1">
        <v>20.776829268292701</v>
      </c>
    </row>
    <row r="6" spans="1:22" x14ac:dyDescent="0.3">
      <c r="A6" t="s">
        <v>12</v>
      </c>
      <c r="B6" s="1">
        <v>44.203333333333298</v>
      </c>
      <c r="C6" s="1">
        <v>41.668502595093301</v>
      </c>
      <c r="D6" s="1">
        <v>37.601999999999997</v>
      </c>
      <c r="G6" t="s">
        <v>12</v>
      </c>
      <c r="H6" s="1">
        <v>24.8515384615384</v>
      </c>
      <c r="I6" s="1">
        <v>24.026779397363001</v>
      </c>
      <c r="J6" s="1">
        <v>21.891818181818198</v>
      </c>
    </row>
    <row r="7" spans="1:22" x14ac:dyDescent="0.3">
      <c r="A7" t="s">
        <v>13</v>
      </c>
      <c r="B7" s="1">
        <v>42.6473333333333</v>
      </c>
      <c r="C7" s="1">
        <v>40.270420086903499</v>
      </c>
      <c r="D7" s="1">
        <v>36.978888888888903</v>
      </c>
      <c r="G7" t="s">
        <v>13</v>
      </c>
      <c r="H7" s="1">
        <v>24.136896551724099</v>
      </c>
      <c r="I7" s="1">
        <v>23.1085790700978</v>
      </c>
      <c r="J7" s="1">
        <v>21.078888888888901</v>
      </c>
    </row>
    <row r="8" spans="1:22" x14ac:dyDescent="0.3">
      <c r="A8" t="s">
        <v>14</v>
      </c>
      <c r="B8" s="1">
        <v>41.572580645161302</v>
      </c>
      <c r="C8" s="1">
        <v>39.219135263254302</v>
      </c>
      <c r="D8" s="1">
        <v>36.200476190476202</v>
      </c>
      <c r="G8" t="s">
        <v>14</v>
      </c>
      <c r="H8" s="1">
        <v>23.622941176470601</v>
      </c>
      <c r="I8" s="1">
        <v>22.8065931750921</v>
      </c>
      <c r="J8" s="1">
        <v>20.998571428571399</v>
      </c>
    </row>
    <row r="9" spans="1:22" x14ac:dyDescent="0.3">
      <c r="A9" t="s">
        <v>15</v>
      </c>
      <c r="B9" s="1">
        <v>42.303333333333299</v>
      </c>
      <c r="C9" s="1">
        <v>40.072379728800797</v>
      </c>
      <c r="D9" s="1">
        <v>36.576666666666597</v>
      </c>
      <c r="G9" t="s">
        <v>15</v>
      </c>
      <c r="H9" s="1">
        <v>24.548787878787898</v>
      </c>
      <c r="I9" s="1">
        <v>23.500210777052001</v>
      </c>
      <c r="J9" s="1">
        <v>20.942941176470601</v>
      </c>
    </row>
    <row r="10" spans="1:22" x14ac:dyDescent="0.3">
      <c r="A10" t="s">
        <v>16</v>
      </c>
      <c r="B10" s="1">
        <v>42.857407407407401</v>
      </c>
      <c r="C10" s="1">
        <v>39.992738897998699</v>
      </c>
      <c r="D10" s="1">
        <v>36.873199999999997</v>
      </c>
      <c r="G10" t="s">
        <v>16</v>
      </c>
      <c r="H10" s="1">
        <v>23.838965517241402</v>
      </c>
      <c r="I10" s="1">
        <v>23.130404079563899</v>
      </c>
      <c r="J10" s="1">
        <v>21.172857142857101</v>
      </c>
    </row>
    <row r="11" spans="1:22" x14ac:dyDescent="0.3">
      <c r="A11" t="s">
        <v>17</v>
      </c>
      <c r="B11" s="1">
        <v>42.892926829268298</v>
      </c>
      <c r="C11" s="1">
        <v>40.330308113883497</v>
      </c>
      <c r="D11" s="1">
        <v>36.873571428571402</v>
      </c>
      <c r="G11" t="s">
        <v>17</v>
      </c>
      <c r="H11" s="1">
        <v>23.933111111111099</v>
      </c>
      <c r="I11" s="1">
        <v>23.182801417177799</v>
      </c>
      <c r="J11" s="1">
        <v>21.049259259259198</v>
      </c>
    </row>
    <row r="13" spans="1:22" x14ac:dyDescent="0.3">
      <c r="A13" t="s">
        <v>5</v>
      </c>
      <c r="B13" t="s">
        <v>0</v>
      </c>
      <c r="C13" t="s">
        <v>3</v>
      </c>
      <c r="D13" t="s">
        <v>4</v>
      </c>
      <c r="F13" t="s">
        <v>6</v>
      </c>
      <c r="H13" t="s">
        <v>0</v>
      </c>
      <c r="I13" t="s">
        <v>3</v>
      </c>
      <c r="J13" t="s">
        <v>4</v>
      </c>
      <c r="M13" t="s">
        <v>5</v>
      </c>
      <c r="N13" t="s">
        <v>0</v>
      </c>
      <c r="O13" t="s">
        <v>3</v>
      </c>
      <c r="P13" t="s">
        <v>4</v>
      </c>
      <c r="R13" t="s">
        <v>6</v>
      </c>
      <c r="T13" t="s">
        <v>0</v>
      </c>
      <c r="U13" t="s">
        <v>3</v>
      </c>
      <c r="V13" t="s">
        <v>4</v>
      </c>
    </row>
    <row r="14" spans="1:22" x14ac:dyDescent="0.3">
      <c r="A14" t="s">
        <v>8</v>
      </c>
      <c r="B14" s="1">
        <v>39.693829787234002</v>
      </c>
      <c r="C14" s="1">
        <v>35.137936099005302</v>
      </c>
      <c r="D14" s="1">
        <v>27.96</v>
      </c>
      <c r="G14" t="s">
        <v>8</v>
      </c>
      <c r="H14" s="1">
        <v>23.123877551020399</v>
      </c>
      <c r="I14" s="1">
        <v>19.8259605442706</v>
      </c>
      <c r="J14" s="1">
        <v>17.815000000000001</v>
      </c>
      <c r="M14" s="2" t="s">
        <v>7</v>
      </c>
      <c r="N14" s="1">
        <v>39.3472609819121</v>
      </c>
      <c r="O14" s="1">
        <v>34.329589759911997</v>
      </c>
      <c r="P14" s="1">
        <v>28.3385029940119</v>
      </c>
      <c r="S14" s="2" t="s">
        <v>7</v>
      </c>
      <c r="T14" s="1">
        <v>23.1236211031175</v>
      </c>
      <c r="U14" s="1">
        <v>19.7070011688328</v>
      </c>
      <c r="V14" s="1">
        <v>18.145294117647001</v>
      </c>
    </row>
    <row r="15" spans="1:22" x14ac:dyDescent="0.3">
      <c r="A15" t="s">
        <v>9</v>
      </c>
      <c r="B15" s="1">
        <v>38.247222222222199</v>
      </c>
      <c r="C15" s="1">
        <v>33.356180804848499</v>
      </c>
      <c r="D15" s="1">
        <v>27.615555555555499</v>
      </c>
      <c r="G15" t="s">
        <v>9</v>
      </c>
      <c r="H15" s="1">
        <v>22.656842105263099</v>
      </c>
      <c r="I15" s="1">
        <v>19.438381489265598</v>
      </c>
      <c r="J15" s="1">
        <v>17.440588235294101</v>
      </c>
    </row>
    <row r="16" spans="1:22" x14ac:dyDescent="0.3">
      <c r="A16" t="s">
        <v>10</v>
      </c>
      <c r="B16" s="1">
        <v>39.562413793103403</v>
      </c>
      <c r="C16" s="1">
        <v>34.087724888258698</v>
      </c>
      <c r="D16" s="1">
        <v>27.498000000000001</v>
      </c>
      <c r="G16" t="s">
        <v>10</v>
      </c>
      <c r="H16" s="1">
        <v>23.5281818181818</v>
      </c>
      <c r="I16" s="1">
        <v>19.687492721757199</v>
      </c>
      <c r="J16" s="1">
        <v>17.922000000000001</v>
      </c>
    </row>
    <row r="17" spans="1:10" x14ac:dyDescent="0.3">
      <c r="A17" t="s">
        <v>11</v>
      </c>
      <c r="B17" s="1">
        <v>38.7990909090909</v>
      </c>
      <c r="C17" s="1">
        <v>33.780507353460202</v>
      </c>
      <c r="D17" s="1">
        <v>28.363043478260899</v>
      </c>
      <c r="G17" t="s">
        <v>11</v>
      </c>
      <c r="H17" s="1">
        <v>22.688367346938801</v>
      </c>
      <c r="I17" s="1">
        <v>19.053601329958301</v>
      </c>
      <c r="J17" s="1">
        <v>17.177499999999998</v>
      </c>
    </row>
    <row r="18" spans="1:10" x14ac:dyDescent="0.3">
      <c r="A18" t="s">
        <v>12</v>
      </c>
      <c r="B18" s="1">
        <v>41.031904761904698</v>
      </c>
      <c r="C18" s="1">
        <v>36.0679184564666</v>
      </c>
      <c r="D18" s="1">
        <v>29.1629411764706</v>
      </c>
      <c r="G18" t="s">
        <v>12</v>
      </c>
      <c r="H18" s="1">
        <v>23.910851063829799</v>
      </c>
      <c r="I18" s="1">
        <v>20.543655194959001</v>
      </c>
      <c r="J18" s="1">
        <v>18.712352941176398</v>
      </c>
    </row>
    <row r="19" spans="1:10" x14ac:dyDescent="0.3">
      <c r="A19" t="s">
        <v>13</v>
      </c>
      <c r="B19" s="1">
        <v>39.423333333333296</v>
      </c>
      <c r="C19" s="1">
        <v>35.057652450000496</v>
      </c>
      <c r="D19" s="1">
        <v>28.936250000000001</v>
      </c>
      <c r="G19" t="s">
        <v>13</v>
      </c>
      <c r="H19" s="1">
        <v>23.050606060606</v>
      </c>
      <c r="I19" s="1">
        <v>19.904541524956802</v>
      </c>
      <c r="J19" s="1">
        <v>18.271818181818201</v>
      </c>
    </row>
    <row r="20" spans="1:10" x14ac:dyDescent="0.3">
      <c r="A20" t="s">
        <v>14</v>
      </c>
      <c r="B20" s="1">
        <v>38.239411764705899</v>
      </c>
      <c r="C20" s="1">
        <v>33.323760252992898</v>
      </c>
      <c r="D20" s="1">
        <v>28.291538461538401</v>
      </c>
      <c r="G20" t="s">
        <v>14</v>
      </c>
      <c r="H20" s="1">
        <v>22.300810810810798</v>
      </c>
      <c r="I20" s="1">
        <v>19.084019275931102</v>
      </c>
      <c r="J20" s="1">
        <v>17.567142857142802</v>
      </c>
    </row>
    <row r="21" spans="1:10" x14ac:dyDescent="0.3">
      <c r="A21" t="s">
        <v>15</v>
      </c>
      <c r="B21" s="1">
        <v>39.216285714285704</v>
      </c>
      <c r="C21" s="1">
        <v>33.362839665056001</v>
      </c>
      <c r="D21" s="1">
        <v>28.526</v>
      </c>
      <c r="G21" t="s">
        <v>15</v>
      </c>
      <c r="H21" s="1">
        <v>23.4361538461538</v>
      </c>
      <c r="I21" s="1">
        <v>19.883793111311402</v>
      </c>
      <c r="J21" s="1">
        <v>18.106666666666602</v>
      </c>
    </row>
    <row r="22" spans="1:10" x14ac:dyDescent="0.3">
      <c r="A22" t="s">
        <v>16</v>
      </c>
      <c r="B22" s="1">
        <v>39.21</v>
      </c>
      <c r="C22" s="1">
        <v>34.4049410109685</v>
      </c>
      <c r="D22" s="1">
        <v>28.112857142857099</v>
      </c>
      <c r="G22" t="s">
        <v>16</v>
      </c>
      <c r="H22" s="1">
        <v>23.091176470588199</v>
      </c>
      <c r="I22" s="1">
        <v>19.839681223168999</v>
      </c>
      <c r="J22" s="1">
        <v>17.878888888888898</v>
      </c>
    </row>
    <row r="23" spans="1:10" x14ac:dyDescent="0.3">
      <c r="A23" t="s">
        <v>17</v>
      </c>
      <c r="B23" s="1">
        <v>39.870869565217397</v>
      </c>
      <c r="C23" s="1">
        <v>34.1162989810772</v>
      </c>
      <c r="D23" s="1">
        <v>28.158999999999999</v>
      </c>
      <c r="G23" t="s">
        <v>17</v>
      </c>
      <c r="H23" s="1">
        <v>23.251702127659598</v>
      </c>
      <c r="I23" s="1">
        <v>19.975443273745899</v>
      </c>
      <c r="J23" s="1">
        <v>17.274705882352901</v>
      </c>
    </row>
    <row r="25" spans="1:10" x14ac:dyDescent="0.3">
      <c r="C25" t="s">
        <v>28</v>
      </c>
      <c r="I25" t="s">
        <v>29</v>
      </c>
    </row>
    <row r="26" spans="1:10" x14ac:dyDescent="0.3">
      <c r="B26" t="s">
        <v>8</v>
      </c>
      <c r="C26">
        <f>C2-C14</f>
        <v>5.125115682437098</v>
      </c>
      <c r="H26" t="s">
        <v>8</v>
      </c>
      <c r="I26">
        <f>I2-I14</f>
        <v>3.5369035332775987</v>
      </c>
    </row>
    <row r="27" spans="1:10" x14ac:dyDescent="0.3">
      <c r="B27" t="s">
        <v>9</v>
      </c>
      <c r="C27">
        <f t="shared" ref="C27:C34" si="0">C3-C15</f>
        <v>5.8403536874301025</v>
      </c>
      <c r="H27" t="s">
        <v>9</v>
      </c>
      <c r="I27">
        <f t="shared" ref="I27:I35" si="1">I3-I15</f>
        <v>3.1866330157745999</v>
      </c>
    </row>
    <row r="28" spans="1:10" x14ac:dyDescent="0.3">
      <c r="B28" t="s">
        <v>10</v>
      </c>
      <c r="C28">
        <f t="shared" si="0"/>
        <v>6.0415276073098028</v>
      </c>
      <c r="H28" t="s">
        <v>10</v>
      </c>
      <c r="I28">
        <f t="shared" si="1"/>
        <v>4.1472473542415997</v>
      </c>
    </row>
    <row r="29" spans="1:10" x14ac:dyDescent="0.3">
      <c r="B29" t="s">
        <v>11</v>
      </c>
      <c r="C29">
        <f t="shared" si="0"/>
        <v>5.7213562419171993</v>
      </c>
      <c r="H29" t="s">
        <v>11</v>
      </c>
      <c r="I29">
        <f t="shared" si="1"/>
        <v>3.8433352875131988</v>
      </c>
    </row>
    <row r="30" spans="1:10" x14ac:dyDescent="0.3">
      <c r="B30" t="s">
        <v>12</v>
      </c>
      <c r="C30">
        <f t="shared" si="0"/>
        <v>5.6005841386267008</v>
      </c>
      <c r="H30" t="s">
        <v>12</v>
      </c>
      <c r="I30">
        <f t="shared" si="1"/>
        <v>3.4831242024039994</v>
      </c>
    </row>
    <row r="31" spans="1:10" x14ac:dyDescent="0.3">
      <c r="B31" t="s">
        <v>13</v>
      </c>
      <c r="C31">
        <f t="shared" si="0"/>
        <v>5.2127676369030027</v>
      </c>
      <c r="H31" t="s">
        <v>13</v>
      </c>
      <c r="I31">
        <f t="shared" si="1"/>
        <v>3.2040375451409986</v>
      </c>
    </row>
    <row r="32" spans="1:10" x14ac:dyDescent="0.3">
      <c r="B32" t="s">
        <v>14</v>
      </c>
      <c r="C32">
        <f t="shared" si="0"/>
        <v>5.8953750102614038</v>
      </c>
      <c r="H32" t="s">
        <v>14</v>
      </c>
      <c r="I32">
        <f t="shared" si="1"/>
        <v>3.7225738991609987</v>
      </c>
    </row>
    <row r="33" spans="1:10" x14ac:dyDescent="0.3">
      <c r="B33" t="s">
        <v>15</v>
      </c>
      <c r="C33">
        <f t="shared" si="0"/>
        <v>6.7095400637447966</v>
      </c>
      <c r="H33" t="s">
        <v>15</v>
      </c>
      <c r="I33">
        <f t="shared" si="1"/>
        <v>3.6164176657405989</v>
      </c>
    </row>
    <row r="34" spans="1:10" x14ac:dyDescent="0.3">
      <c r="B34" t="s">
        <v>16</v>
      </c>
      <c r="C34">
        <f t="shared" si="0"/>
        <v>5.5877978870301988</v>
      </c>
      <c r="H34" t="s">
        <v>16</v>
      </c>
      <c r="I34">
        <f t="shared" si="1"/>
        <v>3.2907228563949005</v>
      </c>
    </row>
    <row r="35" spans="1:10" x14ac:dyDescent="0.3">
      <c r="B35" t="s">
        <v>17</v>
      </c>
      <c r="C35">
        <f>C11-C23</f>
        <v>6.2140091328062965</v>
      </c>
      <c r="D35">
        <f>AVERAGE(C26:C35)</f>
        <v>5.7948427088466605</v>
      </c>
      <c r="H35" t="s">
        <v>17</v>
      </c>
      <c r="I35">
        <f t="shared" si="1"/>
        <v>3.2073581434319003</v>
      </c>
      <c r="J35">
        <f>AVERAGE(I26:I35)</f>
        <v>3.5238353503080391</v>
      </c>
    </row>
    <row r="38" spans="1:10" x14ac:dyDescent="0.3">
      <c r="A38" s="3" t="s">
        <v>18</v>
      </c>
      <c r="B38" t="s">
        <v>0</v>
      </c>
      <c r="C38" t="s">
        <v>20</v>
      </c>
      <c r="D38" t="s">
        <v>21</v>
      </c>
      <c r="E38" t="s">
        <v>49</v>
      </c>
      <c r="F38" s="4" t="s">
        <v>47</v>
      </c>
      <c r="G38" s="4"/>
      <c r="H38" t="s">
        <v>0</v>
      </c>
      <c r="I38" t="s">
        <v>20</v>
      </c>
      <c r="J38" t="s">
        <v>21</v>
      </c>
    </row>
    <row r="39" spans="1:10" x14ac:dyDescent="0.3">
      <c r="A39" t="s">
        <v>8</v>
      </c>
      <c r="B39" s="1">
        <v>30.614615384615401</v>
      </c>
      <c r="C39" s="1">
        <v>28.8218561194311</v>
      </c>
      <c r="D39" s="1">
        <v>27.96</v>
      </c>
      <c r="F39" t="s">
        <v>8</v>
      </c>
      <c r="H39" s="1">
        <v>39.693829787234002</v>
      </c>
      <c r="I39" s="1">
        <v>37.569160841669799</v>
      </c>
      <c r="J39" s="1">
        <v>35.896153846153801</v>
      </c>
    </row>
    <row r="40" spans="1:10" x14ac:dyDescent="0.3">
      <c r="A40" t="s">
        <v>9</v>
      </c>
      <c r="B40" s="1">
        <v>30.327647058823501</v>
      </c>
      <c r="C40" s="1">
        <v>28.418960017698598</v>
      </c>
      <c r="D40" s="1">
        <v>27.615555555555499</v>
      </c>
      <c r="F40" t="s">
        <v>9</v>
      </c>
      <c r="H40" s="1">
        <v>38.247222222222199</v>
      </c>
      <c r="I40" s="1">
        <v>35.256646501377901</v>
      </c>
      <c r="J40" s="1">
        <v>32.654615384615397</v>
      </c>
    </row>
    <row r="41" spans="1:10" x14ac:dyDescent="0.3">
      <c r="A41" t="s">
        <v>10</v>
      </c>
      <c r="B41" s="1">
        <v>30.295882352941199</v>
      </c>
      <c r="C41" s="1">
        <v>28.486068951968399</v>
      </c>
      <c r="D41" s="1">
        <v>27.498000000000001</v>
      </c>
      <c r="F41" t="s">
        <v>10</v>
      </c>
      <c r="H41" s="1">
        <v>39.562413793103403</v>
      </c>
      <c r="I41" s="1">
        <v>36.243949090017601</v>
      </c>
      <c r="J41" s="1">
        <v>33.76</v>
      </c>
    </row>
    <row r="42" spans="1:10" x14ac:dyDescent="0.3">
      <c r="A42" t="s">
        <v>11</v>
      </c>
      <c r="B42" s="1">
        <v>30.9509090909091</v>
      </c>
      <c r="C42" s="1">
        <v>29.158335383181502</v>
      </c>
      <c r="D42" s="1">
        <v>28.363043478260899</v>
      </c>
      <c r="F42" t="s">
        <v>11</v>
      </c>
      <c r="H42" s="1">
        <v>38.7990909090909</v>
      </c>
      <c r="I42" s="1">
        <v>35.559702502244498</v>
      </c>
      <c r="J42" s="1">
        <v>32.79</v>
      </c>
    </row>
    <row r="43" spans="1:10" x14ac:dyDescent="0.3">
      <c r="A43" t="s">
        <v>12</v>
      </c>
      <c r="B43" s="1">
        <v>31.560588235294102</v>
      </c>
      <c r="C43" s="1">
        <v>30.261107706362701</v>
      </c>
      <c r="D43" s="1">
        <v>29.1629411764706</v>
      </c>
      <c r="F43" t="s">
        <v>12</v>
      </c>
      <c r="H43" s="1">
        <v>41.031904761904698</v>
      </c>
      <c r="I43" s="1">
        <v>38.303112123627102</v>
      </c>
      <c r="J43" s="1">
        <v>37.380000000000003</v>
      </c>
    </row>
    <row r="44" spans="1:10" x14ac:dyDescent="0.3">
      <c r="A44" t="s">
        <v>13</v>
      </c>
      <c r="B44" s="1">
        <v>31.748823529411698</v>
      </c>
      <c r="C44" s="1">
        <v>30.2846826374562</v>
      </c>
      <c r="D44" s="1">
        <v>28.936250000000001</v>
      </c>
      <c r="F44" t="s">
        <v>13</v>
      </c>
      <c r="H44" s="1">
        <v>39.423333333333296</v>
      </c>
      <c r="I44" s="1">
        <v>36.894893641020303</v>
      </c>
      <c r="J44" s="1">
        <v>35.284285714285701</v>
      </c>
    </row>
    <row r="45" spans="1:10" x14ac:dyDescent="0.3">
      <c r="A45" t="s">
        <v>14</v>
      </c>
      <c r="B45" s="1">
        <v>29.932500000000001</v>
      </c>
      <c r="C45" s="1">
        <v>29.0334064049147</v>
      </c>
      <c r="D45" s="1">
        <v>28.291538461538401</v>
      </c>
      <c r="F45" t="s">
        <v>14</v>
      </c>
      <c r="H45" s="1">
        <v>38.239411764705899</v>
      </c>
      <c r="I45" s="1">
        <v>34.975229908850103</v>
      </c>
      <c r="J45" s="1">
        <v>34.020769230769197</v>
      </c>
    </row>
    <row r="46" spans="1:10" x14ac:dyDescent="0.3">
      <c r="A46" t="s">
        <v>15</v>
      </c>
      <c r="B46" s="1">
        <v>30.875555555555501</v>
      </c>
      <c r="C46" s="1">
        <v>29.335010910434502</v>
      </c>
      <c r="D46" s="1">
        <v>28.526</v>
      </c>
      <c r="F46" t="s">
        <v>15</v>
      </c>
      <c r="H46" s="1">
        <v>39.216285714285704</v>
      </c>
      <c r="I46" s="1">
        <v>34.913256531074197</v>
      </c>
      <c r="J46" s="1">
        <v>33.122</v>
      </c>
    </row>
    <row r="47" spans="1:10" x14ac:dyDescent="0.3">
      <c r="A47" t="s">
        <v>16</v>
      </c>
      <c r="B47" s="1">
        <v>30.74625</v>
      </c>
      <c r="C47" s="1">
        <v>28.692599349896302</v>
      </c>
      <c r="D47" s="1">
        <v>28.112857142857099</v>
      </c>
      <c r="F47" t="s">
        <v>16</v>
      </c>
      <c r="H47" s="1">
        <v>39.21</v>
      </c>
      <c r="I47" s="1">
        <v>36.603771049515501</v>
      </c>
      <c r="J47" s="1">
        <v>35.7014285714286</v>
      </c>
    </row>
    <row r="48" spans="1:10" x14ac:dyDescent="0.3">
      <c r="A48" t="s">
        <v>17</v>
      </c>
      <c r="B48" s="1">
        <v>30.592857142857099</v>
      </c>
      <c r="C48" s="1">
        <v>28.836525348967601</v>
      </c>
      <c r="D48" s="1">
        <v>28.158999999999999</v>
      </c>
      <c r="F48" t="s">
        <v>17</v>
      </c>
      <c r="H48" s="1">
        <v>39.870869565217397</v>
      </c>
      <c r="I48" s="1">
        <v>36.148622246704797</v>
      </c>
      <c r="J48" s="1">
        <v>34.855454545454499</v>
      </c>
    </row>
    <row r="50" spans="1:10" x14ac:dyDescent="0.3">
      <c r="A50" s="3" t="s">
        <v>19</v>
      </c>
      <c r="B50" t="s">
        <v>0</v>
      </c>
      <c r="C50" t="s">
        <v>20</v>
      </c>
      <c r="D50" t="s">
        <v>21</v>
      </c>
      <c r="E50" t="s">
        <v>48</v>
      </c>
      <c r="F50" s="4" t="s">
        <v>47</v>
      </c>
      <c r="G50" s="4"/>
      <c r="H50" t="s">
        <v>0</v>
      </c>
      <c r="I50" t="s">
        <v>20</v>
      </c>
      <c r="J50" t="s">
        <v>21</v>
      </c>
    </row>
    <row r="51" spans="1:10" x14ac:dyDescent="0.3">
      <c r="A51" t="s">
        <v>8</v>
      </c>
      <c r="B51" s="1">
        <v>18.4468</v>
      </c>
      <c r="C51" s="1">
        <v>18.195041892688501</v>
      </c>
      <c r="D51" s="1">
        <v>17.815000000000001</v>
      </c>
      <c r="F51" t="s">
        <v>8</v>
      </c>
      <c r="H51" s="1">
        <v>23.123877551020399</v>
      </c>
      <c r="I51" s="1">
        <v>20.4537438832755</v>
      </c>
      <c r="J51" s="1">
        <v>18.1182352941176</v>
      </c>
    </row>
    <row r="52" spans="1:10" x14ac:dyDescent="0.3">
      <c r="A52" t="s">
        <v>9</v>
      </c>
      <c r="B52" s="1">
        <v>18.621111111111102</v>
      </c>
      <c r="C52" s="1">
        <v>17.833447488132801</v>
      </c>
      <c r="D52" s="1">
        <v>17.440588235294101</v>
      </c>
      <c r="F52" t="s">
        <v>9</v>
      </c>
      <c r="H52" s="1">
        <v>22.656842105263099</v>
      </c>
      <c r="I52" s="1">
        <v>20.056162655196999</v>
      </c>
      <c r="J52" s="1">
        <v>18.1673333333333</v>
      </c>
    </row>
    <row r="53" spans="1:10" x14ac:dyDescent="0.3">
      <c r="A53" t="s">
        <v>10</v>
      </c>
      <c r="B53" s="1">
        <v>19.46</v>
      </c>
      <c r="C53" s="1">
        <v>18.869362521366401</v>
      </c>
      <c r="D53" s="1">
        <v>17.983333333333299</v>
      </c>
      <c r="F53" t="s">
        <v>10</v>
      </c>
      <c r="H53" s="1">
        <v>23.5281818181818</v>
      </c>
      <c r="I53" s="1">
        <v>20.002412480902802</v>
      </c>
      <c r="J53" s="1">
        <v>17.922000000000001</v>
      </c>
    </row>
    <row r="54" spans="1:10" x14ac:dyDescent="0.3">
      <c r="A54" t="s">
        <v>11</v>
      </c>
      <c r="B54" s="1">
        <v>18.417000000000002</v>
      </c>
      <c r="C54" s="1">
        <v>17.900286756911999</v>
      </c>
      <c r="D54" s="1">
        <v>17.556923076923098</v>
      </c>
      <c r="F54" t="s">
        <v>11</v>
      </c>
      <c r="H54" s="1">
        <v>22.688367346938801</v>
      </c>
      <c r="I54" s="1">
        <v>19.497542340068001</v>
      </c>
      <c r="J54" s="1">
        <v>17.177499999999998</v>
      </c>
    </row>
    <row r="55" spans="1:10" x14ac:dyDescent="0.3">
      <c r="A55" t="s">
        <v>12</v>
      </c>
      <c r="B55" s="1">
        <v>19.705555555555499</v>
      </c>
      <c r="C55" s="1">
        <v>19.1509499354353</v>
      </c>
      <c r="D55" s="1">
        <v>18.712352941176398</v>
      </c>
      <c r="F55" t="s">
        <v>12</v>
      </c>
      <c r="H55" s="1">
        <v>23.910851063829799</v>
      </c>
      <c r="I55" s="1">
        <v>21.079743955257101</v>
      </c>
      <c r="J55" s="1">
        <v>18.989999999999998</v>
      </c>
    </row>
    <row r="56" spans="1:10" x14ac:dyDescent="0.3">
      <c r="A56" t="s">
        <v>13</v>
      </c>
      <c r="B56" s="1">
        <v>19.178571428571399</v>
      </c>
      <c r="C56" s="1">
        <v>18.624351298414101</v>
      </c>
      <c r="D56" s="1">
        <v>18.425999999999998</v>
      </c>
      <c r="F56" t="s">
        <v>13</v>
      </c>
      <c r="H56" s="1">
        <v>23.050606060606</v>
      </c>
      <c r="I56" s="1">
        <v>20.397320299790799</v>
      </c>
      <c r="J56" s="1">
        <v>18.271818181818201</v>
      </c>
    </row>
    <row r="57" spans="1:10" x14ac:dyDescent="0.3">
      <c r="A57" t="s">
        <v>14</v>
      </c>
      <c r="B57" s="1">
        <v>19.225999999999999</v>
      </c>
      <c r="C57" s="1">
        <v>18.454750482178198</v>
      </c>
      <c r="D57" s="1">
        <v>18.223333333333301</v>
      </c>
      <c r="F57" t="s">
        <v>14</v>
      </c>
      <c r="H57" s="1">
        <v>22.300810810810798</v>
      </c>
      <c r="I57" s="1">
        <v>19.3262413291835</v>
      </c>
      <c r="J57" s="1">
        <v>17.567142857142802</v>
      </c>
    </row>
    <row r="58" spans="1:10" x14ac:dyDescent="0.3">
      <c r="A58" t="s">
        <v>15</v>
      </c>
      <c r="B58" s="1">
        <v>19.48875</v>
      </c>
      <c r="C58" s="1">
        <v>18.8907634629177</v>
      </c>
      <c r="D58" s="1">
        <v>18.106666666666602</v>
      </c>
      <c r="F58" t="s">
        <v>15</v>
      </c>
      <c r="H58" s="1">
        <v>23.4361538461538</v>
      </c>
      <c r="I58" s="1">
        <v>20.266036252497301</v>
      </c>
      <c r="J58" s="1">
        <v>18.574000000000002</v>
      </c>
    </row>
    <row r="59" spans="1:10" x14ac:dyDescent="0.3">
      <c r="A59" t="s">
        <v>16</v>
      </c>
      <c r="B59" s="1">
        <v>19.036666666666601</v>
      </c>
      <c r="C59" s="1">
        <v>18.634580933687602</v>
      </c>
      <c r="D59" s="1">
        <v>18.170000000000002</v>
      </c>
      <c r="F59" t="s">
        <v>16</v>
      </c>
      <c r="H59" s="1">
        <v>23.091176470588199</v>
      </c>
      <c r="I59" s="1">
        <v>20.303555912953598</v>
      </c>
      <c r="J59" s="1">
        <v>17.878888888888898</v>
      </c>
    </row>
    <row r="60" spans="1:10" x14ac:dyDescent="0.3">
      <c r="A60" t="s">
        <v>17</v>
      </c>
      <c r="B60" s="1">
        <v>18.572857142857099</v>
      </c>
      <c r="C60" s="1">
        <v>18.059115921331301</v>
      </c>
      <c r="D60" s="1">
        <v>17.274705882352901</v>
      </c>
      <c r="F60" t="s">
        <v>17</v>
      </c>
      <c r="H60" s="1">
        <v>23.251702127659598</v>
      </c>
      <c r="I60" s="1">
        <v>20.713087902899101</v>
      </c>
      <c r="J60" s="1">
        <v>18.352222222222199</v>
      </c>
    </row>
    <row r="61" spans="1:10" x14ac:dyDescent="0.3">
      <c r="B61" t="s">
        <v>0</v>
      </c>
      <c r="C61" t="s">
        <v>20</v>
      </c>
      <c r="D61" t="s">
        <v>21</v>
      </c>
      <c r="H61" t="s">
        <v>0</v>
      </c>
      <c r="I61" t="s">
        <v>20</v>
      </c>
      <c r="J61" t="s">
        <v>21</v>
      </c>
    </row>
    <row r="62" spans="1:10" x14ac:dyDescent="0.3">
      <c r="A62" t="s">
        <v>23</v>
      </c>
      <c r="B62" s="1">
        <v>30.732021276595699</v>
      </c>
      <c r="C62" s="1">
        <v>29.104582904156299</v>
      </c>
      <c r="D62" s="1">
        <v>28.3385029940119</v>
      </c>
      <c r="H62" s="1">
        <v>39.3472609819121</v>
      </c>
      <c r="I62" s="1">
        <v>36.3408318577617</v>
      </c>
      <c r="J62" s="1">
        <v>35.083030303030299</v>
      </c>
    </row>
    <row r="63" spans="1:10" x14ac:dyDescent="0.3">
      <c r="A63" t="s">
        <v>24</v>
      </c>
      <c r="B63" s="1">
        <v>18.835317919075099</v>
      </c>
      <c r="C63" s="1">
        <v>18.405882967368999</v>
      </c>
      <c r="D63" s="1">
        <v>18.228529411764701</v>
      </c>
      <c r="H63" s="1">
        <v>23.1236211031175</v>
      </c>
      <c r="I63" s="1">
        <v>20.2078356697827</v>
      </c>
      <c r="J63" s="1">
        <v>18.145294117647001</v>
      </c>
    </row>
    <row r="68" spans="2:5" x14ac:dyDescent="0.3">
      <c r="B68" t="s">
        <v>25</v>
      </c>
      <c r="C68" t="s">
        <v>26</v>
      </c>
      <c r="D68" s="1">
        <v>43.807624521072803</v>
      </c>
      <c r="E68" s="1">
        <v>28.3385029940119</v>
      </c>
    </row>
    <row r="69" spans="2:5" x14ac:dyDescent="0.3">
      <c r="B69" t="s">
        <v>25</v>
      </c>
      <c r="C69" t="s">
        <v>27</v>
      </c>
      <c r="D69" s="1">
        <v>23.9988397790055</v>
      </c>
      <c r="E69" s="1">
        <v>16.524891304347801</v>
      </c>
    </row>
    <row r="115" spans="1:12" x14ac:dyDescent="0.3">
      <c r="B115" s="5" t="s">
        <v>52</v>
      </c>
      <c r="C115" s="6"/>
      <c r="E115" s="5" t="s">
        <v>51</v>
      </c>
      <c r="F115" s="6"/>
      <c r="H115" s="5" t="s">
        <v>53</v>
      </c>
      <c r="I115" s="7"/>
      <c r="K115" s="5" t="s">
        <v>54</v>
      </c>
      <c r="L115" s="7"/>
    </row>
    <row r="116" spans="1:12" x14ac:dyDescent="0.3">
      <c r="A116" t="s">
        <v>8</v>
      </c>
      <c r="B116">
        <f>C2-I39</f>
        <v>2.6938909397726007</v>
      </c>
      <c r="D116" t="s">
        <v>8</v>
      </c>
      <c r="E116">
        <f>I2-I51</f>
        <v>2.909120194272699</v>
      </c>
      <c r="H116">
        <f>C2-C39</f>
        <v>11.4411956620113</v>
      </c>
      <c r="K116">
        <f>I2-C51</f>
        <v>5.1678221848596984</v>
      </c>
    </row>
    <row r="117" spans="1:12" x14ac:dyDescent="0.3">
      <c r="A117" t="s">
        <v>9</v>
      </c>
      <c r="B117">
        <f t="shared" ref="B117:B125" si="2">C3-I40</f>
        <v>3.9398879909007007</v>
      </c>
      <c r="D117" t="s">
        <v>9</v>
      </c>
      <c r="E117">
        <f t="shared" ref="E117:E125" si="3">I3-I52</f>
        <v>2.5688518498431989</v>
      </c>
      <c r="H117">
        <f t="shared" ref="H117:H125" si="4">C3-C40</f>
        <v>10.777574474580003</v>
      </c>
      <c r="K117">
        <f t="shared" ref="K117:K125" si="5">I3-C52</f>
        <v>4.7915670169073969</v>
      </c>
    </row>
    <row r="118" spans="1:12" x14ac:dyDescent="0.3">
      <c r="A118" t="s">
        <v>10</v>
      </c>
      <c r="B118">
        <f t="shared" si="2"/>
        <v>3.8853034055508999</v>
      </c>
      <c r="D118" t="s">
        <v>10</v>
      </c>
      <c r="E118">
        <f t="shared" si="3"/>
        <v>3.8323275950959967</v>
      </c>
      <c r="H118">
        <f t="shared" si="4"/>
        <v>11.643183543600102</v>
      </c>
      <c r="K118">
        <f t="shared" si="5"/>
        <v>4.9653775546323971</v>
      </c>
    </row>
    <row r="119" spans="1:12" x14ac:dyDescent="0.3">
      <c r="A119" t="s">
        <v>11</v>
      </c>
      <c r="B119">
        <f t="shared" si="2"/>
        <v>3.9421610931329027</v>
      </c>
      <c r="D119" t="s">
        <v>11</v>
      </c>
      <c r="E119">
        <f t="shared" si="3"/>
        <v>3.3993942774034984</v>
      </c>
      <c r="H119">
        <f t="shared" si="4"/>
        <v>10.343528212195899</v>
      </c>
      <c r="K119">
        <f t="shared" si="5"/>
        <v>4.9966498605595007</v>
      </c>
    </row>
    <row r="120" spans="1:12" x14ac:dyDescent="0.3">
      <c r="A120" t="s">
        <v>12</v>
      </c>
      <c r="B120">
        <f t="shared" si="2"/>
        <v>3.3653904714661991</v>
      </c>
      <c r="D120" t="s">
        <v>12</v>
      </c>
      <c r="E120">
        <f t="shared" si="3"/>
        <v>2.9470354421059</v>
      </c>
      <c r="H120">
        <f t="shared" si="4"/>
        <v>11.4073948887306</v>
      </c>
      <c r="K120">
        <f t="shared" si="5"/>
        <v>4.8758294619277009</v>
      </c>
    </row>
    <row r="121" spans="1:12" x14ac:dyDescent="0.3">
      <c r="A121" t="s">
        <v>13</v>
      </c>
      <c r="B121">
        <f t="shared" si="2"/>
        <v>3.3755264458831959</v>
      </c>
      <c r="D121" t="s">
        <v>13</v>
      </c>
      <c r="E121">
        <f t="shared" si="3"/>
        <v>2.7112587703070012</v>
      </c>
      <c r="H121">
        <f t="shared" si="4"/>
        <v>9.9857374494472992</v>
      </c>
      <c r="K121">
        <f t="shared" si="5"/>
        <v>4.4842277716836989</v>
      </c>
    </row>
    <row r="122" spans="1:12" x14ac:dyDescent="0.3">
      <c r="A122" t="s">
        <v>14</v>
      </c>
      <c r="B122">
        <f t="shared" si="2"/>
        <v>4.2439053544041982</v>
      </c>
      <c r="D122" t="s">
        <v>14</v>
      </c>
      <c r="E122">
        <f t="shared" si="3"/>
        <v>3.4803518459086007</v>
      </c>
      <c r="H122">
        <f t="shared" si="4"/>
        <v>10.185728858339601</v>
      </c>
      <c r="K122">
        <f t="shared" si="5"/>
        <v>4.3518426929139018</v>
      </c>
    </row>
    <row r="123" spans="1:12" x14ac:dyDescent="0.3">
      <c r="A123" t="s">
        <v>15</v>
      </c>
      <c r="B123">
        <f t="shared" si="2"/>
        <v>5.1591231977266006</v>
      </c>
      <c r="D123" t="s">
        <v>15</v>
      </c>
      <c r="E123">
        <f t="shared" si="3"/>
        <v>3.2341745245546996</v>
      </c>
      <c r="H123">
        <f t="shared" si="4"/>
        <v>10.737368818366296</v>
      </c>
      <c r="K123">
        <f t="shared" si="5"/>
        <v>4.6094473141343002</v>
      </c>
    </row>
    <row r="124" spans="1:12" x14ac:dyDescent="0.3">
      <c r="A124" t="s">
        <v>16</v>
      </c>
      <c r="B124">
        <f t="shared" si="2"/>
        <v>3.3889678484831975</v>
      </c>
      <c r="D124" t="s">
        <v>16</v>
      </c>
      <c r="E124">
        <f t="shared" si="3"/>
        <v>2.8268481666103007</v>
      </c>
      <c r="H124">
        <f t="shared" si="4"/>
        <v>11.300139548102397</v>
      </c>
      <c r="K124">
        <f t="shared" si="5"/>
        <v>4.4958231458762974</v>
      </c>
    </row>
    <row r="125" spans="1:12" x14ac:dyDescent="0.3">
      <c r="A125" t="s">
        <v>17</v>
      </c>
      <c r="B125">
        <f t="shared" si="2"/>
        <v>4.1816858671787003</v>
      </c>
      <c r="D125" t="s">
        <v>17</v>
      </c>
      <c r="E125">
        <f t="shared" si="3"/>
        <v>2.4697135142786983</v>
      </c>
      <c r="H125">
        <f t="shared" si="4"/>
        <v>11.493782764915895</v>
      </c>
      <c r="K125">
        <f t="shared" si="5"/>
        <v>5.1236854958464981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"/>
  <sheetViews>
    <sheetView tabSelected="1" topLeftCell="A28" workbookViewId="0">
      <selection activeCell="K31" sqref="K31"/>
    </sheetView>
  </sheetViews>
  <sheetFormatPr defaultRowHeight="14.4" x14ac:dyDescent="0.3"/>
  <cols>
    <col min="1" max="1" width="13" customWidth="1"/>
    <col min="2" max="2" width="12.33203125" customWidth="1"/>
    <col min="7" max="7" width="12.77734375" customWidth="1"/>
    <col min="8" max="8" width="12" customWidth="1"/>
  </cols>
  <sheetData>
    <row r="1" spans="1:22" x14ac:dyDescent="0.3">
      <c r="A1" t="s">
        <v>40</v>
      </c>
      <c r="B1" t="s">
        <v>0</v>
      </c>
      <c r="C1" t="s">
        <v>3</v>
      </c>
      <c r="D1" t="s">
        <v>4</v>
      </c>
      <c r="F1" t="s">
        <v>43</v>
      </c>
      <c r="H1" t="s">
        <v>0</v>
      </c>
      <c r="I1" t="s">
        <v>3</v>
      </c>
      <c r="J1" t="s">
        <v>4</v>
      </c>
      <c r="M1" t="s">
        <v>45</v>
      </c>
      <c r="N1" t="s">
        <v>0</v>
      </c>
      <c r="O1" t="s">
        <v>3</v>
      </c>
      <c r="P1" t="s">
        <v>4</v>
      </c>
      <c r="R1" t="s">
        <v>1</v>
      </c>
      <c r="T1" t="s">
        <v>0</v>
      </c>
      <c r="U1" t="s">
        <v>3</v>
      </c>
      <c r="V1" t="s">
        <v>4</v>
      </c>
    </row>
    <row r="2" spans="1:22" x14ac:dyDescent="0.3">
      <c r="A2" t="s">
        <v>30</v>
      </c>
      <c r="B2" s="1">
        <v>18.053999999999998</v>
      </c>
      <c r="C2" s="1">
        <v>14.248717971027601</v>
      </c>
      <c r="D2" s="1">
        <v>11.7336363636363</v>
      </c>
      <c r="G2" t="s">
        <v>30</v>
      </c>
      <c r="H2" s="1">
        <v>10.6082608695652</v>
      </c>
      <c r="I2" s="1">
        <v>7.2999868892127697</v>
      </c>
      <c r="J2" s="1">
        <v>3.0969565217391599</v>
      </c>
      <c r="M2" t="s">
        <v>7</v>
      </c>
      <c r="N2" s="1">
        <v>16.7238461538461</v>
      </c>
      <c r="O2" s="1">
        <v>13.493184972559</v>
      </c>
      <c r="P2" s="1">
        <v>7.5083673469388001</v>
      </c>
      <c r="S2" t="s">
        <v>7</v>
      </c>
      <c r="T2" s="1">
        <v>9.9616455696202806</v>
      </c>
      <c r="U2" s="1">
        <v>3.9671256742928902</v>
      </c>
      <c r="V2" s="1">
        <v>0.29860215053765898</v>
      </c>
    </row>
    <row r="3" spans="1:22" x14ac:dyDescent="0.3">
      <c r="A3" t="s">
        <v>31</v>
      </c>
      <c r="B3" s="1">
        <v>19.478571428571399</v>
      </c>
      <c r="C3" s="1">
        <v>17.262781036384599</v>
      </c>
      <c r="D3" s="1">
        <v>15.6042857142857</v>
      </c>
      <c r="G3" t="s">
        <v>31</v>
      </c>
      <c r="H3" s="1">
        <v>10.09</v>
      </c>
      <c r="I3" s="1">
        <v>7.6240319970420796</v>
      </c>
      <c r="J3" s="1">
        <v>5.0525000000000198</v>
      </c>
      <c r="U3" s="1"/>
    </row>
    <row r="4" spans="1:22" x14ac:dyDescent="0.3">
      <c r="A4" t="s">
        <v>32</v>
      </c>
      <c r="B4" s="1">
        <v>16.043333333333301</v>
      </c>
      <c r="C4" s="1">
        <v>13.983657052459201</v>
      </c>
      <c r="D4" s="1">
        <v>11.2225</v>
      </c>
      <c r="G4" t="s">
        <v>32</v>
      </c>
      <c r="H4" s="1">
        <v>10.785833333333301</v>
      </c>
      <c r="I4" s="1">
        <v>8.0015175333690305</v>
      </c>
      <c r="J4" s="1">
        <v>4.8585714285714499</v>
      </c>
      <c r="N4" s="1"/>
      <c r="O4" s="1"/>
    </row>
    <row r="5" spans="1:22" x14ac:dyDescent="0.3">
      <c r="A5" t="s">
        <v>33</v>
      </c>
      <c r="B5" s="1">
        <v>14.19</v>
      </c>
      <c r="C5" s="1">
        <v>12.8079651990329</v>
      </c>
      <c r="D5" s="1">
        <v>11.7481818181818</v>
      </c>
      <c r="G5" t="s">
        <v>33</v>
      </c>
      <c r="H5" s="1">
        <v>8.1429032258064797</v>
      </c>
      <c r="I5" s="1">
        <v>4.8173510736862397</v>
      </c>
      <c r="J5" s="1">
        <v>0.81000000000002803</v>
      </c>
    </row>
    <row r="6" spans="1:22" x14ac:dyDescent="0.3">
      <c r="A6" t="s">
        <v>34</v>
      </c>
      <c r="B6" s="1">
        <v>14.1827272727273</v>
      </c>
      <c r="C6" s="1">
        <v>11.738638240526299</v>
      </c>
      <c r="D6" s="1">
        <v>10.321111111111099</v>
      </c>
      <c r="G6" t="s">
        <v>34</v>
      </c>
      <c r="H6" s="1">
        <v>9.1033333333333601</v>
      </c>
      <c r="I6" s="1">
        <v>5.37433965492085</v>
      </c>
      <c r="J6" s="1">
        <v>3.0159259259259499</v>
      </c>
    </row>
    <row r="7" spans="1:22" x14ac:dyDescent="0.3">
      <c r="A7" t="s">
        <v>35</v>
      </c>
      <c r="B7" s="1">
        <v>15.6438461538461</v>
      </c>
      <c r="C7" s="1">
        <v>13.5879413444984</v>
      </c>
      <c r="D7" s="1">
        <v>12.789130434782599</v>
      </c>
      <c r="G7" t="s">
        <v>35</v>
      </c>
      <c r="H7" s="1">
        <v>9.8021212121212393</v>
      </c>
      <c r="I7" s="1">
        <v>6.0354517528837404</v>
      </c>
      <c r="J7" s="1">
        <v>2.6576923076923298</v>
      </c>
    </row>
    <row r="8" spans="1:22" x14ac:dyDescent="0.3">
      <c r="A8" t="s">
        <v>36</v>
      </c>
      <c r="B8" s="1">
        <v>15.99</v>
      </c>
      <c r="C8" s="1">
        <v>13.813419069249999</v>
      </c>
      <c r="D8" s="1">
        <v>12.5057142857143</v>
      </c>
      <c r="G8" t="s">
        <v>36</v>
      </c>
      <c r="H8" s="1">
        <v>8.6814285714286008</v>
      </c>
      <c r="I8" s="1">
        <v>6.2795433026062799</v>
      </c>
      <c r="J8" s="1">
        <v>3.3800000000000199</v>
      </c>
    </row>
    <row r="9" spans="1:22" x14ac:dyDescent="0.3">
      <c r="A9" t="s">
        <v>37</v>
      </c>
      <c r="B9" s="1">
        <v>18.728400000000001</v>
      </c>
      <c r="C9" s="1">
        <v>16.8536046887636</v>
      </c>
      <c r="D9" s="1">
        <v>14.2135294117647</v>
      </c>
      <c r="G9" t="s">
        <v>37</v>
      </c>
      <c r="H9" s="1">
        <v>11.4442857142857</v>
      </c>
      <c r="I9" s="1">
        <v>8.5165315360422706</v>
      </c>
      <c r="J9" s="1">
        <v>4.5970000000000297</v>
      </c>
    </row>
    <row r="10" spans="1:22" x14ac:dyDescent="0.3">
      <c r="A10" t="s">
        <v>38</v>
      </c>
      <c r="B10" s="1">
        <v>15.1811111111111</v>
      </c>
      <c r="C10" s="1">
        <v>14.2716187303091</v>
      </c>
      <c r="D10" s="1">
        <v>12.93</v>
      </c>
      <c r="G10" t="s">
        <v>38</v>
      </c>
      <c r="H10" s="1">
        <v>9.0263636363636603</v>
      </c>
      <c r="I10" s="1">
        <v>5.1848264898096001</v>
      </c>
      <c r="J10" s="1">
        <v>1.25914285714288</v>
      </c>
    </row>
    <row r="11" spans="1:22" x14ac:dyDescent="0.3">
      <c r="A11" t="s">
        <v>39</v>
      </c>
      <c r="B11" s="1">
        <v>14.1605263157895</v>
      </c>
      <c r="C11" s="1">
        <v>13.0091513326794</v>
      </c>
      <c r="D11" s="1">
        <v>10.1614285714285</v>
      </c>
      <c r="G11" t="s">
        <v>39</v>
      </c>
      <c r="H11" s="1">
        <v>8.1851515151515404</v>
      </c>
      <c r="I11" s="1">
        <v>5.2730972571058796</v>
      </c>
      <c r="J11" s="1">
        <v>2.13928571428574</v>
      </c>
    </row>
    <row r="13" spans="1:22" x14ac:dyDescent="0.3">
      <c r="A13" t="s">
        <v>5</v>
      </c>
      <c r="B13" t="s">
        <v>0</v>
      </c>
      <c r="C13" t="s">
        <v>3</v>
      </c>
      <c r="D13" t="s">
        <v>4</v>
      </c>
      <c r="F13" t="s">
        <v>44</v>
      </c>
      <c r="H13" t="s">
        <v>0</v>
      </c>
      <c r="I13" t="s">
        <v>3</v>
      </c>
      <c r="J13" t="s">
        <v>4</v>
      </c>
      <c r="M13" t="s">
        <v>5</v>
      </c>
      <c r="N13" t="s">
        <v>0</v>
      </c>
      <c r="O13" t="s">
        <v>3</v>
      </c>
      <c r="P13" t="s">
        <v>4</v>
      </c>
      <c r="R13" t="s">
        <v>6</v>
      </c>
      <c r="T13" t="s">
        <v>0</v>
      </c>
      <c r="U13" t="s">
        <v>3</v>
      </c>
      <c r="V13" t="s">
        <v>4</v>
      </c>
    </row>
    <row r="14" spans="1:22" x14ac:dyDescent="0.3">
      <c r="A14" t="s">
        <v>30</v>
      </c>
      <c r="B14" s="1">
        <v>20.25</v>
      </c>
      <c r="C14" s="1">
        <v>13.408083465009399</v>
      </c>
      <c r="D14" s="1">
        <v>11.296666666666701</v>
      </c>
      <c r="G14" t="s">
        <v>30</v>
      </c>
      <c r="H14" s="1">
        <v>6.7650000000000201</v>
      </c>
      <c r="I14" s="1">
        <v>4.8132885189629899</v>
      </c>
      <c r="J14" s="1">
        <v>2.0966666666666902</v>
      </c>
      <c r="M14" t="s">
        <v>7</v>
      </c>
      <c r="N14" s="1">
        <v>14.285500000000001</v>
      </c>
      <c r="O14" s="1">
        <v>12.602638553327401</v>
      </c>
      <c r="P14" s="1">
        <v>10.729512195121901</v>
      </c>
      <c r="S14" t="s">
        <v>7</v>
      </c>
      <c r="T14" s="1">
        <v>5.7341605839416303</v>
      </c>
      <c r="U14" s="1">
        <v>4.3662655274232796</v>
      </c>
      <c r="V14" s="1">
        <v>1.87696517412938</v>
      </c>
    </row>
    <row r="15" spans="1:22" x14ac:dyDescent="0.3">
      <c r="A15" t="s">
        <v>31</v>
      </c>
      <c r="B15" s="1">
        <v>21.33</v>
      </c>
      <c r="C15" s="1">
        <v>16.7071980674617</v>
      </c>
      <c r="D15" s="1">
        <v>13.5066666666666</v>
      </c>
      <c r="G15" t="s">
        <v>31</v>
      </c>
      <c r="H15" s="1">
        <v>8.0277777777777999</v>
      </c>
      <c r="I15" s="1">
        <v>5.9423790694026799</v>
      </c>
      <c r="J15" s="1">
        <v>3.1028571428571698</v>
      </c>
    </row>
    <row r="16" spans="1:22" x14ac:dyDescent="0.3">
      <c r="A16" t="s">
        <v>32</v>
      </c>
      <c r="B16" s="1">
        <v>15.786250000000001</v>
      </c>
      <c r="C16" s="1">
        <v>11.837116233298699</v>
      </c>
      <c r="D16" s="1">
        <v>7.7150000000000301</v>
      </c>
      <c r="G16" t="s">
        <v>32</v>
      </c>
      <c r="H16" s="1">
        <v>7.8945454545454803</v>
      </c>
      <c r="I16" s="1">
        <v>5.5978128487474104</v>
      </c>
      <c r="J16" s="1">
        <v>2.8277777777778002</v>
      </c>
    </row>
    <row r="17" spans="1:10" x14ac:dyDescent="0.3">
      <c r="A17" t="s">
        <v>33</v>
      </c>
      <c r="B17" s="1">
        <v>14.393333333333301</v>
      </c>
      <c r="C17" s="1">
        <v>10.887347243489399</v>
      </c>
      <c r="D17" s="1">
        <v>7.9260000000000197</v>
      </c>
      <c r="G17" t="s">
        <v>33</v>
      </c>
      <c r="H17" s="1">
        <v>4.3980000000000299</v>
      </c>
      <c r="I17" s="1">
        <v>2.2770961523754898</v>
      </c>
      <c r="J17" s="1">
        <v>0.54875000000003005</v>
      </c>
    </row>
    <row r="18" spans="1:10" x14ac:dyDescent="0.3">
      <c r="A18" t="s">
        <v>34</v>
      </c>
      <c r="B18" s="1">
        <v>15.75</v>
      </c>
      <c r="C18" s="1">
        <v>11.0998002419374</v>
      </c>
      <c r="D18" s="1">
        <v>7.6260000000000403</v>
      </c>
      <c r="G18" t="s">
        <v>34</v>
      </c>
      <c r="H18" s="1">
        <v>6.08200000000003</v>
      </c>
      <c r="I18" s="1">
        <v>3.8086751530365999</v>
      </c>
      <c r="J18" s="1">
        <v>1.4140000000000299</v>
      </c>
    </row>
    <row r="19" spans="1:10" x14ac:dyDescent="0.3">
      <c r="A19" t="s">
        <v>35</v>
      </c>
      <c r="B19" s="1">
        <v>15.0471428571428</v>
      </c>
      <c r="C19" s="1">
        <v>13.271549789952999</v>
      </c>
      <c r="D19" s="1">
        <v>11.37</v>
      </c>
      <c r="G19" t="s">
        <v>35</v>
      </c>
      <c r="H19" s="1">
        <v>6.6560000000000397</v>
      </c>
      <c r="I19" s="1">
        <v>3.9480252185786102</v>
      </c>
      <c r="J19" s="1">
        <v>0.160833333333364</v>
      </c>
    </row>
    <row r="20" spans="1:10" x14ac:dyDescent="0.3">
      <c r="A20" t="s">
        <v>36</v>
      </c>
      <c r="B20" s="1">
        <v>14.82</v>
      </c>
      <c r="C20" s="1">
        <v>12.2776944183348</v>
      </c>
      <c r="D20" s="1">
        <v>9.7450000000000294</v>
      </c>
      <c r="G20" t="s">
        <v>36</v>
      </c>
      <c r="H20" s="1">
        <v>6.51000000000003</v>
      </c>
      <c r="I20" s="1">
        <v>5.1352016737635902</v>
      </c>
      <c r="J20" s="1">
        <v>3.6900000000000199</v>
      </c>
    </row>
    <row r="21" spans="1:10" x14ac:dyDescent="0.3">
      <c r="A21" t="s">
        <v>37</v>
      </c>
      <c r="B21" s="1">
        <v>17.316666666666599</v>
      </c>
      <c r="C21" s="1">
        <v>14.5654353811191</v>
      </c>
      <c r="D21" s="1">
        <v>11.63</v>
      </c>
      <c r="G21" t="s">
        <v>37</v>
      </c>
      <c r="H21" s="1">
        <v>10.441428571428601</v>
      </c>
      <c r="I21" s="1">
        <v>7.1809294815692004</v>
      </c>
      <c r="J21" s="1">
        <v>3.8500000000000201</v>
      </c>
    </row>
    <row r="22" spans="1:10" x14ac:dyDescent="0.3">
      <c r="A22" t="s">
        <v>38</v>
      </c>
      <c r="B22" s="1">
        <v>14.833529411764699</v>
      </c>
      <c r="C22" s="1">
        <v>12.136282883169001</v>
      </c>
      <c r="D22" s="1">
        <v>8.3414285714285992</v>
      </c>
      <c r="G22" t="s">
        <v>38</v>
      </c>
      <c r="H22" s="1">
        <v>5.5012500000000202</v>
      </c>
      <c r="I22" s="1">
        <v>2.78624238828119</v>
      </c>
      <c r="J22" s="1">
        <v>-1.0007692307692</v>
      </c>
    </row>
    <row r="23" spans="1:10" x14ac:dyDescent="0.3">
      <c r="A23" t="s">
        <v>39</v>
      </c>
      <c r="B23" s="1">
        <v>13.595454545454499</v>
      </c>
      <c r="C23" s="1">
        <v>11.6817245875138</v>
      </c>
      <c r="D23" s="1">
        <v>8.5566666666666897</v>
      </c>
      <c r="G23" t="s">
        <v>39</v>
      </c>
      <c r="H23" s="1">
        <v>5.0315384615384797</v>
      </c>
      <c r="I23" s="1">
        <v>3.1457089523552999</v>
      </c>
      <c r="J23" s="1">
        <v>0.17000000000002199</v>
      </c>
    </row>
    <row r="26" spans="1:10" x14ac:dyDescent="0.3">
      <c r="A26" s="3" t="s">
        <v>41</v>
      </c>
      <c r="B26" t="s">
        <v>0</v>
      </c>
      <c r="C26" t="s">
        <v>20</v>
      </c>
      <c r="D26" t="s">
        <v>21</v>
      </c>
      <c r="F26" s="4" t="s">
        <v>22</v>
      </c>
      <c r="G26" s="4"/>
      <c r="H26" t="s">
        <v>0</v>
      </c>
      <c r="I26" t="s">
        <v>20</v>
      </c>
      <c r="J26" t="s">
        <v>21</v>
      </c>
    </row>
    <row r="27" spans="1:10" x14ac:dyDescent="0.3">
      <c r="A27" t="s">
        <v>30</v>
      </c>
      <c r="B27" s="1">
        <v>13.6423076923077</v>
      </c>
      <c r="C27" s="1">
        <v>12.531017789629599</v>
      </c>
      <c r="D27" s="1">
        <v>11.5211111111111</v>
      </c>
      <c r="G27" t="s">
        <v>30</v>
      </c>
      <c r="H27" s="1">
        <v>20.25</v>
      </c>
      <c r="I27" s="1">
        <v>13.745689033308301</v>
      </c>
      <c r="J27" s="1">
        <v>11.296666666666701</v>
      </c>
    </row>
    <row r="28" spans="1:10" x14ac:dyDescent="0.3">
      <c r="A28" t="s">
        <v>31</v>
      </c>
      <c r="B28" s="1">
        <v>17.216000000000001</v>
      </c>
      <c r="C28" s="1">
        <v>15.5507956615117</v>
      </c>
      <c r="D28" s="1">
        <v>13.5066666666666</v>
      </c>
      <c r="G28" t="s">
        <v>31</v>
      </c>
      <c r="H28" s="1">
        <v>21.33</v>
      </c>
      <c r="I28" s="1">
        <v>17.152327665394999</v>
      </c>
      <c r="J28" s="1">
        <v>14.305</v>
      </c>
    </row>
    <row r="29" spans="1:10" x14ac:dyDescent="0.3">
      <c r="A29" t="s">
        <v>32</v>
      </c>
      <c r="B29" s="1">
        <v>15.736666666666601</v>
      </c>
      <c r="C29" s="1">
        <v>13.4141035911702</v>
      </c>
      <c r="D29" s="1">
        <v>9.2150000000000105</v>
      </c>
      <c r="G29" t="s">
        <v>32</v>
      </c>
      <c r="H29" s="1">
        <v>15.786250000000001</v>
      </c>
      <c r="I29" s="1">
        <v>11.2300924629023</v>
      </c>
      <c r="J29" s="1">
        <v>7.7150000000000301</v>
      </c>
    </row>
    <row r="30" spans="1:10" x14ac:dyDescent="0.3">
      <c r="A30" t="s">
        <v>33</v>
      </c>
      <c r="B30" s="1">
        <v>14.393333333333301</v>
      </c>
      <c r="C30" s="1">
        <v>12.4080029773812</v>
      </c>
      <c r="D30" s="1">
        <v>11.6547058823529</v>
      </c>
      <c r="G30" t="s">
        <v>33</v>
      </c>
      <c r="H30" s="1">
        <v>13.1277777777778</v>
      </c>
      <c r="I30" s="1">
        <v>10.3020069917401</v>
      </c>
      <c r="J30" s="1">
        <v>7.9260000000000197</v>
      </c>
    </row>
    <row r="31" spans="1:10" x14ac:dyDescent="0.3">
      <c r="A31" t="s">
        <v>34</v>
      </c>
      <c r="B31" s="1">
        <v>13.473636363636301</v>
      </c>
      <c r="C31" s="1">
        <v>12.516865662558899</v>
      </c>
      <c r="D31" s="1">
        <v>11.106666666666699</v>
      </c>
      <c r="G31" t="s">
        <v>34</v>
      </c>
      <c r="H31" s="1">
        <v>15.75</v>
      </c>
      <c r="I31" s="1">
        <v>10.5543346170987</v>
      </c>
      <c r="J31" s="1">
        <v>7.6260000000000403</v>
      </c>
    </row>
    <row r="32" spans="1:10" x14ac:dyDescent="0.3">
      <c r="A32" t="s">
        <v>35</v>
      </c>
      <c r="B32" s="1">
        <v>13.477058823529401</v>
      </c>
      <c r="C32" s="1">
        <v>12.706647974671</v>
      </c>
      <c r="D32" s="1">
        <v>11.37</v>
      </c>
      <c r="G32" t="s">
        <v>35</v>
      </c>
      <c r="H32" s="1">
        <v>15.0471428571428</v>
      </c>
      <c r="I32" s="1">
        <v>13.488995305990001</v>
      </c>
      <c r="J32" s="1">
        <v>11.4728571428571</v>
      </c>
    </row>
    <row r="33" spans="1:10" x14ac:dyDescent="0.3">
      <c r="A33" t="s">
        <v>36</v>
      </c>
      <c r="B33" s="1">
        <v>14.82</v>
      </c>
      <c r="C33" s="1">
        <v>14.112171643737399</v>
      </c>
      <c r="D33" s="1">
        <v>13.345000000000001</v>
      </c>
      <c r="G33" t="s">
        <v>36</v>
      </c>
      <c r="H33" s="1">
        <v>13.5666666666667</v>
      </c>
      <c r="I33" s="1">
        <v>11.5715560485427</v>
      </c>
      <c r="J33" s="1">
        <v>9.7450000000000294</v>
      </c>
    </row>
    <row r="34" spans="1:10" x14ac:dyDescent="0.3">
      <c r="A34" t="s">
        <v>37</v>
      </c>
      <c r="B34" s="1">
        <v>16.79</v>
      </c>
      <c r="C34" s="1">
        <v>15.5384211347163</v>
      </c>
      <c r="D34" s="1">
        <v>14.956</v>
      </c>
      <c r="G34" t="s">
        <v>37</v>
      </c>
      <c r="H34" s="1">
        <v>17.316666666666599</v>
      </c>
      <c r="I34" s="1">
        <v>14.1909076604354</v>
      </c>
      <c r="J34" s="1">
        <v>11.63</v>
      </c>
    </row>
    <row r="35" spans="1:10" x14ac:dyDescent="0.3">
      <c r="A35" t="s">
        <v>38</v>
      </c>
      <c r="B35" s="1">
        <v>14.833529411764699</v>
      </c>
      <c r="C35" s="1">
        <v>13.3681913406806</v>
      </c>
      <c r="D35" s="1">
        <v>12.0275</v>
      </c>
      <c r="G35" t="s">
        <v>38</v>
      </c>
      <c r="H35" s="1">
        <v>13.667</v>
      </c>
      <c r="I35" s="1">
        <v>11.662089026807701</v>
      </c>
      <c r="J35" s="1">
        <v>8.3414285714285992</v>
      </c>
    </row>
    <row r="36" spans="1:10" x14ac:dyDescent="0.3">
      <c r="A36" t="s">
        <v>39</v>
      </c>
      <c r="B36" s="1">
        <v>12.8711111111111</v>
      </c>
      <c r="C36" s="1">
        <v>12.304595156722799</v>
      </c>
      <c r="D36" s="1">
        <v>11.608000000000001</v>
      </c>
      <c r="G36" t="s">
        <v>39</v>
      </c>
      <c r="H36" s="1">
        <v>13.595454545454499</v>
      </c>
      <c r="I36" s="1">
        <v>11.441965378600001</v>
      </c>
      <c r="J36" s="1">
        <v>8.5566666666666897</v>
      </c>
    </row>
    <row r="38" spans="1:10" x14ac:dyDescent="0.3">
      <c r="A38" s="3" t="s">
        <v>42</v>
      </c>
      <c r="B38" t="s">
        <v>0</v>
      </c>
      <c r="C38" t="s">
        <v>20</v>
      </c>
      <c r="D38" t="s">
        <v>21</v>
      </c>
      <c r="F38" s="4" t="s">
        <v>22</v>
      </c>
      <c r="H38" t="s">
        <v>0</v>
      </c>
      <c r="I38" t="s">
        <v>20</v>
      </c>
      <c r="J38" t="s">
        <v>21</v>
      </c>
    </row>
    <row r="39" spans="1:10" x14ac:dyDescent="0.3">
      <c r="A39" t="s">
        <v>30</v>
      </c>
      <c r="B39" s="1">
        <v>3.7917391304348098</v>
      </c>
      <c r="C39" s="1">
        <v>2.6746309395314198</v>
      </c>
      <c r="D39" s="1">
        <v>2.0966666666666902</v>
      </c>
      <c r="G39" t="s">
        <v>30</v>
      </c>
      <c r="H39" s="1">
        <v>6.7650000000000201</v>
      </c>
      <c r="I39" s="1">
        <v>5.6365138802656203</v>
      </c>
      <c r="J39" s="1">
        <v>2.5287500000000298</v>
      </c>
    </row>
    <row r="40" spans="1:10" x14ac:dyDescent="0.3">
      <c r="A40" t="s">
        <v>31</v>
      </c>
      <c r="B40" s="1">
        <v>4.8605882352941503</v>
      </c>
      <c r="C40" s="1">
        <v>3.85885429774584</v>
      </c>
      <c r="D40" s="1">
        <v>3.1028571428571698</v>
      </c>
      <c r="G40" t="s">
        <v>31</v>
      </c>
      <c r="H40" s="1">
        <v>8.0277777777777999</v>
      </c>
      <c r="I40" s="1">
        <v>6.7443823678391004</v>
      </c>
      <c r="J40" s="1">
        <v>4.7750000000000297</v>
      </c>
    </row>
    <row r="41" spans="1:10" x14ac:dyDescent="0.3">
      <c r="A41" t="s">
        <v>32</v>
      </c>
      <c r="B41" s="1">
        <v>6.2500000000000204</v>
      </c>
      <c r="C41" s="1">
        <v>4.2672044560684403</v>
      </c>
      <c r="D41" s="1">
        <v>2.8277777777778002</v>
      </c>
      <c r="G41" t="s">
        <v>32</v>
      </c>
      <c r="H41" s="1">
        <v>7.8945454545454803</v>
      </c>
      <c r="I41" s="1">
        <v>6.1099988972997004</v>
      </c>
      <c r="J41" s="1">
        <v>4.2633333333333496</v>
      </c>
    </row>
    <row r="42" spans="1:10" x14ac:dyDescent="0.3">
      <c r="A42" t="s">
        <v>33</v>
      </c>
      <c r="B42" s="1">
        <v>1.9476470588235599</v>
      </c>
      <c r="C42" s="1">
        <v>0.85699731583251504</v>
      </c>
      <c r="D42" s="1">
        <v>0.54875000000003005</v>
      </c>
      <c r="G42" t="s">
        <v>33</v>
      </c>
      <c r="H42" s="1">
        <v>4.3980000000000299</v>
      </c>
      <c r="I42" s="1">
        <v>2.82372941851493</v>
      </c>
      <c r="J42" s="1">
        <v>1.33666666666668</v>
      </c>
    </row>
    <row r="43" spans="1:10" x14ac:dyDescent="0.3">
      <c r="A43" t="s">
        <v>34</v>
      </c>
      <c r="B43" s="1">
        <v>4.8409090909091201</v>
      </c>
      <c r="C43" s="1">
        <v>3.9419967842292198</v>
      </c>
      <c r="D43" s="1">
        <v>2.99470588235297</v>
      </c>
      <c r="G43" t="s">
        <v>34</v>
      </c>
      <c r="H43" s="1">
        <v>6.08200000000003</v>
      </c>
      <c r="I43" s="1">
        <v>3.7573561625336098</v>
      </c>
      <c r="J43" s="1">
        <v>1.4140000000000299</v>
      </c>
    </row>
    <row r="44" spans="1:10" x14ac:dyDescent="0.3">
      <c r="A44" t="s">
        <v>35</v>
      </c>
      <c r="B44" s="1">
        <v>2.2809677419355001</v>
      </c>
      <c r="C44" s="1">
        <v>1.4845007192967301</v>
      </c>
      <c r="D44" s="1">
        <v>0.160833333333364</v>
      </c>
      <c r="G44" t="s">
        <v>35</v>
      </c>
      <c r="H44" s="1">
        <v>6.6560000000000397</v>
      </c>
      <c r="I44" s="1">
        <v>4.8963003728172998</v>
      </c>
      <c r="J44" s="1">
        <v>1.73750000000003</v>
      </c>
    </row>
    <row r="45" spans="1:10" x14ac:dyDescent="0.3">
      <c r="A45" t="s">
        <v>36</v>
      </c>
      <c r="B45" s="1">
        <v>5.5609090909091199</v>
      </c>
      <c r="C45" s="1">
        <v>4.6741542358448198</v>
      </c>
      <c r="D45" s="1">
        <v>3.6900000000000199</v>
      </c>
      <c r="G45" t="s">
        <v>36</v>
      </c>
      <c r="H45" s="1">
        <v>6.51000000000003</v>
      </c>
      <c r="I45" s="1">
        <v>5.3126709176989504</v>
      </c>
      <c r="J45" s="1">
        <v>3.98333333333336</v>
      </c>
    </row>
    <row r="46" spans="1:10" x14ac:dyDescent="0.3">
      <c r="A46" t="s">
        <v>37</v>
      </c>
      <c r="B46" s="1">
        <v>5.6994117647058999</v>
      </c>
      <c r="C46" s="1">
        <v>4.12034840188314</v>
      </c>
      <c r="D46" s="1">
        <v>3.8500000000000201</v>
      </c>
      <c r="G46" t="s">
        <v>37</v>
      </c>
      <c r="H46" s="1">
        <v>10.441428571428601</v>
      </c>
      <c r="I46" s="1">
        <v>8.3590273637884795</v>
      </c>
      <c r="J46" s="1">
        <v>6.5950000000000202</v>
      </c>
    </row>
    <row r="47" spans="1:10" x14ac:dyDescent="0.3">
      <c r="A47" t="s">
        <v>38</v>
      </c>
      <c r="B47" s="1">
        <v>0.92870967741938304</v>
      </c>
      <c r="C47" s="1">
        <v>0.224347534596508</v>
      </c>
      <c r="D47" s="1">
        <v>-1.0007692307692</v>
      </c>
      <c r="G47" t="s">
        <v>38</v>
      </c>
      <c r="H47" s="1">
        <v>5.5012500000000202</v>
      </c>
      <c r="I47" s="1">
        <v>3.7723828704356399</v>
      </c>
      <c r="J47" s="1">
        <v>1.5277777777778001</v>
      </c>
    </row>
    <row r="48" spans="1:10" x14ac:dyDescent="0.3">
      <c r="A48" t="s">
        <v>39</v>
      </c>
      <c r="B48" s="1">
        <v>1.49285714285717</v>
      </c>
      <c r="C48" s="1">
        <v>1.0178395826092199</v>
      </c>
      <c r="D48" s="1">
        <v>0.17000000000002199</v>
      </c>
      <c r="G48" t="s">
        <v>39</v>
      </c>
      <c r="H48" s="1">
        <v>5.0315384615384797</v>
      </c>
      <c r="I48" s="1">
        <v>3.96478164896698</v>
      </c>
      <c r="J48" s="1">
        <v>1.21571428571431</v>
      </c>
    </row>
    <row r="51" spans="2:9" x14ac:dyDescent="0.3">
      <c r="C51" t="s">
        <v>28</v>
      </c>
      <c r="I51" t="s">
        <v>29</v>
      </c>
    </row>
    <row r="52" spans="2:9" x14ac:dyDescent="0.3">
      <c r="B52" t="s">
        <v>30</v>
      </c>
      <c r="C52">
        <f>C2-C14</f>
        <v>0.84063450601820122</v>
      </c>
      <c r="H52" t="s">
        <v>30</v>
      </c>
      <c r="I52">
        <f>I2-I14</f>
        <v>2.4866983702497798</v>
      </c>
    </row>
    <row r="53" spans="2:9" x14ac:dyDescent="0.3">
      <c r="B53" t="s">
        <v>31</v>
      </c>
      <c r="C53">
        <f t="shared" ref="C53:C61" si="0">C3-C15</f>
        <v>0.5555829689228986</v>
      </c>
      <c r="H53" t="s">
        <v>31</v>
      </c>
      <c r="I53">
        <f t="shared" ref="I53:I61" si="1">I3-I15</f>
        <v>1.6816529276393997</v>
      </c>
    </row>
    <row r="54" spans="2:9" x14ac:dyDescent="0.3">
      <c r="B54" t="s">
        <v>32</v>
      </c>
      <c r="C54">
        <f t="shared" si="0"/>
        <v>2.1465408191605011</v>
      </c>
      <c r="H54" t="s">
        <v>32</v>
      </c>
      <c r="I54">
        <f t="shared" si="1"/>
        <v>2.4037046846216201</v>
      </c>
    </row>
    <row r="55" spans="2:9" x14ac:dyDescent="0.3">
      <c r="B55" t="s">
        <v>33</v>
      </c>
      <c r="C55">
        <f t="shared" si="0"/>
        <v>1.9206179555435003</v>
      </c>
      <c r="H55" t="s">
        <v>33</v>
      </c>
      <c r="I55">
        <f t="shared" si="1"/>
        <v>2.5402549213107499</v>
      </c>
    </row>
    <row r="56" spans="2:9" x14ac:dyDescent="0.3">
      <c r="B56" t="s">
        <v>34</v>
      </c>
      <c r="C56">
        <f t="shared" si="0"/>
        <v>0.63883799858889923</v>
      </c>
      <c r="H56" t="s">
        <v>34</v>
      </c>
      <c r="I56">
        <f t="shared" si="1"/>
        <v>1.5656645018842501</v>
      </c>
    </row>
    <row r="57" spans="2:9" x14ac:dyDescent="0.3">
      <c r="B57" t="s">
        <v>35</v>
      </c>
      <c r="C57">
        <f t="shared" si="0"/>
        <v>0.31639155454540102</v>
      </c>
      <c r="H57" t="s">
        <v>35</v>
      </c>
      <c r="I57">
        <f t="shared" si="1"/>
        <v>2.0874265343051301</v>
      </c>
    </row>
    <row r="58" spans="2:9" x14ac:dyDescent="0.3">
      <c r="B58" t="s">
        <v>36</v>
      </c>
      <c r="C58">
        <f t="shared" si="0"/>
        <v>1.5357246509151992</v>
      </c>
      <c r="H58" t="s">
        <v>36</v>
      </c>
      <c r="I58">
        <f t="shared" si="1"/>
        <v>1.1443416288426898</v>
      </c>
    </row>
    <row r="59" spans="2:9" x14ac:dyDescent="0.3">
      <c r="B59" t="s">
        <v>37</v>
      </c>
      <c r="C59">
        <f t="shared" si="0"/>
        <v>2.2881693076445</v>
      </c>
      <c r="H59" t="s">
        <v>37</v>
      </c>
      <c r="I59">
        <f t="shared" si="1"/>
        <v>1.3356020544730702</v>
      </c>
    </row>
    <row r="60" spans="2:9" x14ac:dyDescent="0.3">
      <c r="B60" t="s">
        <v>38</v>
      </c>
      <c r="C60">
        <f t="shared" si="0"/>
        <v>2.1353358471400998</v>
      </c>
      <c r="H60" t="s">
        <v>38</v>
      </c>
      <c r="I60">
        <f t="shared" si="1"/>
        <v>2.3985841015284102</v>
      </c>
    </row>
    <row r="61" spans="2:9" x14ac:dyDescent="0.3">
      <c r="B61" t="s">
        <v>39</v>
      </c>
      <c r="C61">
        <f t="shared" si="0"/>
        <v>1.3274267451655994</v>
      </c>
      <c r="H61" t="s">
        <v>39</v>
      </c>
      <c r="I61">
        <f t="shared" si="1"/>
        <v>2.1273883047505797</v>
      </c>
    </row>
    <row r="62" spans="2:9" x14ac:dyDescent="0.3">
      <c r="C62">
        <f>AVERAGE(C52:C61)</f>
        <v>1.37052623536448</v>
      </c>
      <c r="I62">
        <f>AVERAGE(I52:I61)</f>
        <v>1.977131802960568</v>
      </c>
    </row>
    <row r="69" spans="2:12" x14ac:dyDescent="0.3">
      <c r="C69" t="s">
        <v>55</v>
      </c>
      <c r="I69" t="s">
        <v>56</v>
      </c>
    </row>
    <row r="70" spans="2:12" x14ac:dyDescent="0.3">
      <c r="B70" t="s">
        <v>30</v>
      </c>
      <c r="C70">
        <f>C2-I27</f>
        <v>0.50302893771930002</v>
      </c>
      <c r="E70" t="s">
        <v>30</v>
      </c>
      <c r="F70">
        <f>I2-I39</f>
        <v>1.6634730089471494</v>
      </c>
      <c r="H70" t="s">
        <v>30</v>
      </c>
      <c r="I70">
        <f>C2-C27</f>
        <v>1.7177001813980013</v>
      </c>
      <c r="K70" t="s">
        <v>30</v>
      </c>
      <c r="L70">
        <f>I2-C39</f>
        <v>4.6253559496813494</v>
      </c>
    </row>
    <row r="71" spans="2:12" x14ac:dyDescent="0.3">
      <c r="B71" t="s">
        <v>31</v>
      </c>
      <c r="C71">
        <f t="shared" ref="C71:C79" si="2">C3-I28</f>
        <v>0.11045337098959962</v>
      </c>
      <c r="E71" t="s">
        <v>31</v>
      </c>
      <c r="F71">
        <f t="shared" ref="F71:F79" si="3">I3-I40</f>
        <v>0.87964962920297918</v>
      </c>
      <c r="H71" t="s">
        <v>31</v>
      </c>
      <c r="I71">
        <f t="shared" ref="I71:I79" si="4">C3-C28</f>
        <v>1.7119853748728993</v>
      </c>
      <c r="K71" t="s">
        <v>31</v>
      </c>
      <c r="L71">
        <f t="shared" ref="L71:L79" si="5">I3-C40</f>
        <v>3.7651776992962396</v>
      </c>
    </row>
    <row r="72" spans="2:12" x14ac:dyDescent="0.3">
      <c r="B72" t="s">
        <v>32</v>
      </c>
      <c r="C72">
        <f t="shared" si="2"/>
        <v>2.7535645895569001</v>
      </c>
      <c r="E72" t="s">
        <v>32</v>
      </c>
      <c r="F72">
        <f t="shared" si="3"/>
        <v>1.8915186360693301</v>
      </c>
      <c r="H72" t="s">
        <v>32</v>
      </c>
      <c r="I72">
        <f t="shared" si="4"/>
        <v>0.56955346128900075</v>
      </c>
      <c r="K72" t="s">
        <v>32</v>
      </c>
      <c r="L72">
        <f t="shared" si="5"/>
        <v>3.7343130773005901</v>
      </c>
    </row>
    <row r="73" spans="2:12" x14ac:dyDescent="0.3">
      <c r="B73" t="s">
        <v>33</v>
      </c>
      <c r="C73">
        <f t="shared" si="2"/>
        <v>2.5059582072927995</v>
      </c>
      <c r="E73" t="s">
        <v>33</v>
      </c>
      <c r="F73">
        <f t="shared" si="3"/>
        <v>1.9936216551713097</v>
      </c>
      <c r="H73" t="s">
        <v>33</v>
      </c>
      <c r="I73">
        <f t="shared" si="4"/>
        <v>0.39996222165170003</v>
      </c>
      <c r="K73" t="s">
        <v>33</v>
      </c>
      <c r="L73">
        <f t="shared" si="5"/>
        <v>3.9603537578537247</v>
      </c>
    </row>
    <row r="74" spans="2:12" x14ac:dyDescent="0.3">
      <c r="B74" t="s">
        <v>34</v>
      </c>
      <c r="C74">
        <f t="shared" si="2"/>
        <v>1.1843036234275992</v>
      </c>
      <c r="E74" t="s">
        <v>34</v>
      </c>
      <c r="F74">
        <f t="shared" si="3"/>
        <v>1.6169834923872402</v>
      </c>
      <c r="H74" t="s">
        <v>34</v>
      </c>
      <c r="I74">
        <f t="shared" si="4"/>
        <v>-0.7782274220326002</v>
      </c>
      <c r="K74" t="s">
        <v>34</v>
      </c>
      <c r="L74">
        <f t="shared" si="5"/>
        <v>1.4323428706916301</v>
      </c>
    </row>
    <row r="75" spans="2:12" x14ac:dyDescent="0.3">
      <c r="B75" t="s">
        <v>35</v>
      </c>
      <c r="C75">
        <f t="shared" si="2"/>
        <v>9.8946038508399781E-2</v>
      </c>
      <c r="E75" t="s">
        <v>35</v>
      </c>
      <c r="F75">
        <f t="shared" si="3"/>
        <v>1.1391513800664406</v>
      </c>
      <c r="H75" t="s">
        <v>35</v>
      </c>
      <c r="I75">
        <f t="shared" si="4"/>
        <v>0.88129336982740014</v>
      </c>
      <c r="K75" t="s">
        <v>35</v>
      </c>
      <c r="L75">
        <f t="shared" si="5"/>
        <v>4.55095103358701</v>
      </c>
    </row>
    <row r="76" spans="2:12" x14ac:dyDescent="0.3">
      <c r="B76" t="s">
        <v>36</v>
      </c>
      <c r="C76">
        <f t="shared" si="2"/>
        <v>2.2418630207072994</v>
      </c>
      <c r="E76" t="s">
        <v>36</v>
      </c>
      <c r="F76">
        <f t="shared" si="3"/>
        <v>0.96687238490732952</v>
      </c>
      <c r="H76" t="s">
        <v>36</v>
      </c>
      <c r="I76">
        <f t="shared" si="4"/>
        <v>-0.29875257448740022</v>
      </c>
      <c r="K76" t="s">
        <v>36</v>
      </c>
      <c r="L76">
        <f t="shared" si="5"/>
        <v>1.6053890667614601</v>
      </c>
    </row>
    <row r="77" spans="2:12" x14ac:dyDescent="0.3">
      <c r="B77" t="s">
        <v>37</v>
      </c>
      <c r="C77">
        <f t="shared" si="2"/>
        <v>2.6626970283281999</v>
      </c>
      <c r="E77" t="s">
        <v>37</v>
      </c>
      <c r="F77">
        <f t="shared" si="3"/>
        <v>0.1575041722537911</v>
      </c>
      <c r="H77" t="s">
        <v>37</v>
      </c>
      <c r="I77">
        <f t="shared" si="4"/>
        <v>1.3151835540472998</v>
      </c>
      <c r="K77" t="s">
        <v>37</v>
      </c>
      <c r="L77">
        <f t="shared" si="5"/>
        <v>4.3961831341591306</v>
      </c>
    </row>
    <row r="78" spans="2:12" x14ac:dyDescent="0.3">
      <c r="B78" t="s">
        <v>38</v>
      </c>
      <c r="C78">
        <f t="shared" si="2"/>
        <v>2.6095297035013996</v>
      </c>
      <c r="E78" t="s">
        <v>38</v>
      </c>
      <c r="F78">
        <f t="shared" si="3"/>
        <v>1.4124436193739602</v>
      </c>
      <c r="H78" t="s">
        <v>38</v>
      </c>
      <c r="I78">
        <f t="shared" si="4"/>
        <v>0.90342738962850078</v>
      </c>
      <c r="K78" t="s">
        <v>38</v>
      </c>
      <c r="L78">
        <f t="shared" si="5"/>
        <v>4.9604789552130919</v>
      </c>
    </row>
    <row r="79" spans="2:12" x14ac:dyDescent="0.3">
      <c r="B79" t="s">
        <v>39</v>
      </c>
      <c r="C79">
        <f t="shared" si="2"/>
        <v>1.5671859540793989</v>
      </c>
      <c r="E79" t="s">
        <v>39</v>
      </c>
      <c r="F79">
        <f t="shared" si="3"/>
        <v>1.3083156081388996</v>
      </c>
      <c r="H79" t="s">
        <v>39</v>
      </c>
      <c r="I79">
        <f t="shared" si="4"/>
        <v>0.70455617595660058</v>
      </c>
      <c r="K79" t="s">
        <v>39</v>
      </c>
      <c r="L79">
        <f t="shared" si="5"/>
        <v>4.2552576744966597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July-Aug</vt:lpstr>
      <vt:lpstr>Nov-Dec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2024-04-29T20:33:46Z</dcterms:created>
  <dcterms:modified xsi:type="dcterms:W3CDTF">2024-10-27T16:28:29Z</dcterms:modified>
</cp:coreProperties>
</file>