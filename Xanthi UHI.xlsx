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9192" activeTab="1"/>
  </bookViews>
  <sheets>
    <sheet name="July-Aug" sheetId="1" r:id="rId1"/>
    <sheet name="Nov-De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" i="2" l="1"/>
  <c r="I36" i="2"/>
  <c r="I12" i="2"/>
  <c r="I60" i="2"/>
  <c r="C60" i="2"/>
  <c r="C48" i="2"/>
  <c r="C36" i="2"/>
  <c r="C24" i="2"/>
  <c r="C12" i="2"/>
  <c r="J48" i="1"/>
  <c r="I24" i="1"/>
  <c r="I12" i="1"/>
  <c r="C24" i="1"/>
  <c r="C12" i="1"/>
  <c r="C49" i="1"/>
  <c r="C26" i="1"/>
  <c r="J35" i="1"/>
  <c r="D35" i="1"/>
  <c r="K67" i="2" l="1"/>
  <c r="K68" i="2"/>
  <c r="K69" i="2"/>
  <c r="K70" i="2"/>
  <c r="K71" i="2"/>
  <c r="K72" i="2"/>
  <c r="K73" i="2"/>
  <c r="K74" i="2"/>
  <c r="K75" i="2"/>
  <c r="K66" i="2"/>
  <c r="I67" i="2"/>
  <c r="I68" i="2"/>
  <c r="I69" i="2"/>
  <c r="I70" i="2"/>
  <c r="I71" i="2"/>
  <c r="I72" i="2"/>
  <c r="I73" i="2"/>
  <c r="I74" i="2"/>
  <c r="I75" i="2"/>
  <c r="I66" i="2"/>
  <c r="E67" i="2"/>
  <c r="E68" i="2"/>
  <c r="E69" i="2"/>
  <c r="E70" i="2"/>
  <c r="E71" i="2"/>
  <c r="E72" i="2"/>
  <c r="E73" i="2"/>
  <c r="E74" i="2"/>
  <c r="E75" i="2"/>
  <c r="E66" i="2"/>
  <c r="B67" i="2"/>
  <c r="B68" i="2"/>
  <c r="B69" i="2"/>
  <c r="B70" i="2"/>
  <c r="B71" i="2"/>
  <c r="B72" i="2"/>
  <c r="B73" i="2"/>
  <c r="B74" i="2"/>
  <c r="B75" i="2"/>
  <c r="B66" i="2"/>
  <c r="L80" i="1" l="1"/>
  <c r="L81" i="1"/>
  <c r="L82" i="1"/>
  <c r="L83" i="1"/>
  <c r="L84" i="1"/>
  <c r="L85" i="1"/>
  <c r="L86" i="1"/>
  <c r="L87" i="1"/>
  <c r="L88" i="1"/>
  <c r="L79" i="1"/>
  <c r="I80" i="1"/>
  <c r="I81" i="1"/>
  <c r="I82" i="1"/>
  <c r="I83" i="1"/>
  <c r="I84" i="1"/>
  <c r="I85" i="1"/>
  <c r="I86" i="1"/>
  <c r="I87" i="1"/>
  <c r="I88" i="1"/>
  <c r="I79" i="1"/>
  <c r="F80" i="1"/>
  <c r="F81" i="1"/>
  <c r="F82" i="1"/>
  <c r="F83" i="1"/>
  <c r="F84" i="1"/>
  <c r="F85" i="1"/>
  <c r="F86" i="1"/>
  <c r="F87" i="1"/>
  <c r="F88" i="1"/>
  <c r="F79" i="1"/>
  <c r="C80" i="1"/>
  <c r="C81" i="1"/>
  <c r="C82" i="1"/>
  <c r="C83" i="1"/>
  <c r="C84" i="1"/>
  <c r="C85" i="1"/>
  <c r="C86" i="1"/>
  <c r="C87" i="1"/>
  <c r="C88" i="1"/>
  <c r="C79" i="1"/>
  <c r="H52" i="2" l="1"/>
  <c r="H53" i="2"/>
  <c r="H54" i="2"/>
  <c r="H55" i="2"/>
  <c r="H56" i="2"/>
  <c r="H57" i="2"/>
  <c r="H58" i="2"/>
  <c r="H59" i="2"/>
  <c r="H60" i="2"/>
  <c r="H51" i="2"/>
  <c r="B52" i="2"/>
  <c r="B53" i="2"/>
  <c r="B54" i="2"/>
  <c r="B55" i="2"/>
  <c r="B56" i="2"/>
  <c r="B57" i="2"/>
  <c r="B58" i="2"/>
  <c r="B59" i="2"/>
  <c r="B60" i="2"/>
  <c r="B51" i="2"/>
  <c r="I27" i="1" l="1"/>
  <c r="I28" i="1"/>
  <c r="I29" i="1"/>
  <c r="I30" i="1"/>
  <c r="I31" i="1"/>
  <c r="I32" i="1"/>
  <c r="I33" i="1"/>
  <c r="I34" i="1"/>
  <c r="I35" i="1"/>
  <c r="I26" i="1"/>
  <c r="C27" i="1"/>
  <c r="C28" i="1"/>
  <c r="C29" i="1"/>
  <c r="C30" i="1"/>
  <c r="C31" i="1"/>
  <c r="C32" i="1"/>
  <c r="C33" i="1"/>
  <c r="C34" i="1"/>
  <c r="C35" i="1"/>
  <c r="L39" i="1"/>
  <c r="L40" i="1"/>
  <c r="L41" i="1"/>
  <c r="L42" i="1"/>
  <c r="L43" i="1"/>
  <c r="L44" i="1"/>
  <c r="L45" i="1"/>
  <c r="L46" i="1"/>
  <c r="L47" i="1"/>
  <c r="L38" i="1"/>
  <c r="E47" i="1"/>
  <c r="E39" i="1"/>
  <c r="E40" i="1"/>
  <c r="E41" i="1"/>
  <c r="E42" i="1"/>
  <c r="E43" i="1"/>
  <c r="E44" i="1"/>
  <c r="E45" i="1"/>
  <c r="E46" i="1"/>
  <c r="E38" i="1"/>
</calcChain>
</file>

<file path=xl/sharedStrings.xml><?xml version="1.0" encoding="utf-8"?>
<sst xmlns="http://schemas.openxmlformats.org/spreadsheetml/2006/main" count="379" uniqueCount="56">
  <si>
    <t>Urban Day Thess/niki July 1-August 31</t>
  </si>
  <si>
    <t>Max</t>
  </si>
  <si>
    <t>mean</t>
  </si>
  <si>
    <t>min</t>
  </si>
  <si>
    <t>Urban Night Thess/niki</t>
  </si>
  <si>
    <t>Rural Day Thess/niki</t>
  </si>
  <si>
    <t>Rural Night Thess/niki</t>
  </si>
  <si>
    <t>08--17</t>
  </si>
  <si>
    <t>Agrotiki-Hmiastika Day Thess/niki</t>
  </si>
  <si>
    <t>Agrotiki-Hmiastiki Night Thess/niki</t>
  </si>
  <si>
    <t xml:space="preserve">Forest Day </t>
  </si>
  <si>
    <t>Forest Night</t>
  </si>
  <si>
    <t>mean all</t>
  </si>
  <si>
    <t>AOI</t>
  </si>
  <si>
    <t>Day</t>
  </si>
  <si>
    <t>min=</t>
  </si>
  <si>
    <t>max=</t>
  </si>
  <si>
    <t>Night</t>
  </si>
  <si>
    <t>Jul-Aug 2008</t>
  </si>
  <si>
    <t>Jul-Aug 2009</t>
  </si>
  <si>
    <t>Jul-Aug 2010</t>
  </si>
  <si>
    <t>Jul-Aug 2011</t>
  </si>
  <si>
    <t>Jul-Aug 2012</t>
  </si>
  <si>
    <t>Jul-Aug 2013</t>
  </si>
  <si>
    <t>Jul-Aug 2014</t>
  </si>
  <si>
    <t>Jul-Aug 2015</t>
  </si>
  <si>
    <t>Jul-Aug 2016</t>
  </si>
  <si>
    <t>Jul-Aug 2017</t>
  </si>
  <si>
    <t>Urban Xanthi Day</t>
  </si>
  <si>
    <t>Urban Xanthi Night</t>
  </si>
  <si>
    <t>Forest Xanthi Day</t>
  </si>
  <si>
    <t>Forest Xanthi Night</t>
  </si>
  <si>
    <t xml:space="preserve">Agrarian/Semi-urban Xanthi Night </t>
  </si>
  <si>
    <t xml:space="preserve">Agrarian/Semi-urban Xanthi Day </t>
  </si>
  <si>
    <t>LUHI Intensity Day</t>
  </si>
  <si>
    <t>LUHI Intensity Night</t>
  </si>
  <si>
    <t>Rural Xanthi Day</t>
  </si>
  <si>
    <t>Rural Xanthi Night</t>
  </si>
  <si>
    <t>Nov-Dec 2008</t>
  </si>
  <si>
    <t>Nov-Dec 2009</t>
  </si>
  <si>
    <t>Nov-Dec 2010</t>
  </si>
  <si>
    <t>Nov-Dec 2011</t>
  </si>
  <si>
    <t>Nov-Dec 2012</t>
  </si>
  <si>
    <t>Nov-Dec 2013</t>
  </si>
  <si>
    <t>Nov-Dec 2014</t>
  </si>
  <si>
    <t>Nov-Dec 2015</t>
  </si>
  <si>
    <t>Nov-Dec 2016</t>
  </si>
  <si>
    <t>Nov-Dec 2017</t>
  </si>
  <si>
    <t>Νύχτα</t>
  </si>
  <si>
    <t>Αστική Περιοχή Ξάνθης</t>
  </si>
  <si>
    <t xml:space="preserve">Αγροτική/Ημιαστική περιοχή Ξάνθης </t>
  </si>
  <si>
    <t>LUHI Intensity Day Urban-Forest</t>
  </si>
  <si>
    <t>LUHI Intensity Night Urban-SemiUrban</t>
  </si>
  <si>
    <t>LUHI Intensity Night Urban-Forest</t>
  </si>
  <si>
    <t>LUHI Intensity Day Urban-SemiUrban</t>
  </si>
  <si>
    <t>Δασικές Περιοχές Ξάνθης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</si>
</sst>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1"/>
      <scheme val="minor"/>
    </font>
    <font>
      <sz val="8"/>
      <color theme="1"/>
      <name val="Courier New"/>
      <family val="3"/>
      <charset val="161"/>
    </font>
    <font>
      <sz val="11"/>
      <color rgb="FFFF0000"/>
      <name val="Calibri"/>
      <family val="2"/>
      <charset val="16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LUHI Intensity over</a:t>
            </a:r>
            <a:r>
              <a:rPr lang="en-US" baseline="0"/>
              <a:t> Xanthi July-August </a:t>
            </a:r>
            <a:r>
              <a:rPr lang="el-GR" baseline="0"/>
              <a:t>200</a:t>
            </a:r>
            <a:r>
              <a:rPr lang="en-US" baseline="0"/>
              <a:t>8-</a:t>
            </a:r>
            <a:r>
              <a:rPr lang="el-GR" baseline="0"/>
              <a:t>20</a:t>
            </a:r>
            <a:r>
              <a:rPr lang="en-US" baseline="0"/>
              <a:t>17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'July-Aug'!$C$25</c:f>
              <c:strCache>
                <c:ptCount val="1"/>
                <c:pt idx="0">
                  <c:v>LUHI Intensity 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'July-Aug'!$B$26:$B$35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'July-Aug'!$C$26:$C$35</c:f>
              <c:numCache>
                <c:formatCode>General</c:formatCode>
                <c:ptCount val="10"/>
                <c:pt idx="0">
                  <c:v>2.0167589396553041</c:v>
                </c:pt>
                <c:pt idx="1">
                  <c:v>3.0007391422019012</c:v>
                </c:pt>
                <c:pt idx="2">
                  <c:v>1.4651768169972499</c:v>
                </c:pt>
                <c:pt idx="3">
                  <c:v>4.9688658979707014</c:v>
                </c:pt>
                <c:pt idx="4">
                  <c:v>1.0861856853758951</c:v>
                </c:pt>
                <c:pt idx="5">
                  <c:v>2.137743602820251</c:v>
                </c:pt>
                <c:pt idx="6">
                  <c:v>2.2194294339037057</c:v>
                </c:pt>
                <c:pt idx="7">
                  <c:v>4.6237993403368023</c:v>
                </c:pt>
                <c:pt idx="8">
                  <c:v>2.513017244419494</c:v>
                </c:pt>
                <c:pt idx="9">
                  <c:v>2.1019071149630477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01-436E-AA86-C48E5376106B}"/>
            </c:ext>
          </c:extLst>
        </c:ser>
        <c:ser>
          <c:idx val="1"/>
          <c:order val="1"/>
          <c:tx>
            <c:strRef>
              <c:f>'July-Aug'!$I$25</c:f>
              <c:strCache>
                <c:ptCount val="1"/>
                <c:pt idx="0">
                  <c:v>LUHI Intensity Night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'July-Aug'!$B$26:$B$35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'July-Aug'!$I$26:$I$35</c:f>
              <c:numCache>
                <c:formatCode>General</c:formatCode>
                <c:ptCount val="10"/>
                <c:pt idx="0">
                  <c:v>2.0094058071571013</c:v>
                </c:pt>
                <c:pt idx="1">
                  <c:v>2.7138564854025518</c:v>
                </c:pt>
                <c:pt idx="2">
                  <c:v>2.126205191254801</c:v>
                </c:pt>
                <c:pt idx="3">
                  <c:v>2.4911894428120505</c:v>
                </c:pt>
                <c:pt idx="4">
                  <c:v>2.7134286667823524</c:v>
                </c:pt>
                <c:pt idx="5">
                  <c:v>1.411346971456549</c:v>
                </c:pt>
                <c:pt idx="6">
                  <c:v>2.1416839852432474</c:v>
                </c:pt>
                <c:pt idx="7">
                  <c:v>2.8162569402437008</c:v>
                </c:pt>
                <c:pt idx="8">
                  <c:v>2.5151027832993513</c:v>
                </c:pt>
                <c:pt idx="9">
                  <c:v>2.6802854667400986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01-436E-AA86-C48E53761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7460480"/>
        <c:axId val="1497467136"/>
      </c:lineChart>
      <c:catAx>
        <c:axId val="1497460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Μήνας-Χρόνος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497467136"/>
        <c:crosses val="autoZero"/>
        <c:auto val="1"/>
        <c:lblAlgn val="ctr"/>
        <c:lblOffset val="100"/>
        <c:noMultiLvlLbl val="0"/>
      </c:catAx>
      <c:valAx>
        <c:axId val="1497467136"/>
        <c:scaling>
          <c:orientation val="minMax"/>
          <c:max val="5.2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Θερμοκρασία επιφάνειας εδάφους </a:t>
                </a:r>
                <a:r>
                  <a:rPr lang="en-US" sz="1000" b="0" i="0" baseline="0">
                    <a:effectLst/>
                  </a:rPr>
                  <a:t>°C</a:t>
                </a:r>
                <a:endParaRPr lang="el-GR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49746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15619983181716"/>
          <c:y val="0.94367317782680915"/>
          <c:w val="0.45773274851565882"/>
          <c:h val="5.03584545217434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Urban Day-Night Xanthi July 1-August 31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'July-Aug'!$A$1</c:f>
              <c:strCache>
                <c:ptCount val="1"/>
                <c:pt idx="0">
                  <c:v>Αστική Περιοχή Ξάνθης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'July-Aug'!$G$2:$G$11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'July-Aug'!$C$2:$C$11</c:f>
              <c:numCache>
                <c:formatCode>General</c:formatCode>
                <c:ptCount val="10"/>
                <c:pt idx="0">
                  <c:v>38.6995589241874</c:v>
                </c:pt>
                <c:pt idx="1">
                  <c:v>38.913029114068003</c:v>
                </c:pt>
                <c:pt idx="2">
                  <c:v>35.0866377800523</c:v>
                </c:pt>
                <c:pt idx="3">
                  <c:v>38.749540062462302</c:v>
                </c:pt>
                <c:pt idx="4">
                  <c:v>38.816088396761899</c:v>
                </c:pt>
                <c:pt idx="5">
                  <c:v>38.816088396761899</c:v>
                </c:pt>
                <c:pt idx="6">
                  <c:v>36.611541016983701</c:v>
                </c:pt>
                <c:pt idx="7">
                  <c:v>40.495995238470101</c:v>
                </c:pt>
                <c:pt idx="8">
                  <c:v>38.603154603499497</c:v>
                </c:pt>
                <c:pt idx="9">
                  <c:v>40.174755228849399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C4-422D-8479-5A1B5CA3C2EF}"/>
            </c:ext>
          </c:extLst>
        </c:ser>
        <c:ser>
          <c:idx val="1"/>
          <c:order val="1"/>
          <c:tx>
            <c:strRef>
              <c:f>'July-Aug'!$F$1</c:f>
              <c:strCache>
                <c:ptCount val="1"/>
                <c:pt idx="0">
                  <c:v>Αστική Περιοχή Ξάνθης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'July-Aug'!$G$2:$G$11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'July-Aug'!$I$2:$I$11</c:f>
              <c:numCache>
                <c:formatCode>General</c:formatCode>
                <c:ptCount val="10"/>
                <c:pt idx="0">
                  <c:v>19.6952957749603</c:v>
                </c:pt>
                <c:pt idx="1">
                  <c:v>20.894963212876402</c:v>
                </c:pt>
                <c:pt idx="2">
                  <c:v>20.0377870883807</c:v>
                </c:pt>
                <c:pt idx="3">
                  <c:v>21.3057946093483</c:v>
                </c:pt>
                <c:pt idx="4">
                  <c:v>22.5005224113773</c:v>
                </c:pt>
                <c:pt idx="5">
                  <c:v>21.347361212652899</c:v>
                </c:pt>
                <c:pt idx="6">
                  <c:v>20.5503838018004</c:v>
                </c:pt>
                <c:pt idx="7">
                  <c:v>21.533191442390699</c:v>
                </c:pt>
                <c:pt idx="8">
                  <c:v>21.211446273391601</c:v>
                </c:pt>
                <c:pt idx="9">
                  <c:v>21.483887079294298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C4-422D-8479-5A1B5CA3C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4787648"/>
        <c:axId val="254790144"/>
      </c:lineChart>
      <c:catAx>
        <c:axId val="25478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54790144"/>
        <c:crosses val="autoZero"/>
        <c:auto val="1"/>
        <c:lblAlgn val="ctr"/>
        <c:lblOffset val="100"/>
        <c:noMultiLvlLbl val="0"/>
      </c:catAx>
      <c:valAx>
        <c:axId val="254790144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5478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baseline="0">
                <a:effectLst/>
              </a:rPr>
              <a:t>Μέση ημερήσια θερμοκρασία επιφάνειας εδάφους Ξάνθης</a:t>
            </a:r>
            <a:endParaRPr lang="en-US" sz="14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'July-Aug'!$A$1</c:f>
              <c:strCache>
                <c:ptCount val="1"/>
                <c:pt idx="0">
                  <c:v>Αστική Περιοχή Ξάνθης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'July-Aug'!$A$14:$A$23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'July-Aug'!$C$2:$C$11</c:f>
              <c:numCache>
                <c:formatCode>General</c:formatCode>
                <c:ptCount val="10"/>
                <c:pt idx="0">
                  <c:v>38.6995589241874</c:v>
                </c:pt>
                <c:pt idx="1">
                  <c:v>38.913029114068003</c:v>
                </c:pt>
                <c:pt idx="2">
                  <c:v>35.0866377800523</c:v>
                </c:pt>
                <c:pt idx="3">
                  <c:v>38.749540062462302</c:v>
                </c:pt>
                <c:pt idx="4">
                  <c:v>38.816088396761899</c:v>
                </c:pt>
                <c:pt idx="5">
                  <c:v>38.816088396761899</c:v>
                </c:pt>
                <c:pt idx="6">
                  <c:v>36.611541016983701</c:v>
                </c:pt>
                <c:pt idx="7">
                  <c:v>40.495995238470101</c:v>
                </c:pt>
                <c:pt idx="8">
                  <c:v>38.603154603499497</c:v>
                </c:pt>
                <c:pt idx="9">
                  <c:v>40.174755228849399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21-435D-A5FE-17AE53EF13E0}"/>
            </c:ext>
          </c:extLst>
        </c:ser>
        <c:ser>
          <c:idx val="1"/>
          <c:order val="1"/>
          <c:tx>
            <c:strRef>
              <c:f>'July-Aug'!$A$13</c:f>
              <c:strCache>
                <c:ptCount val="1"/>
                <c:pt idx="0">
                  <c:v>Δασικές Περιοχές Ξάνθης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'July-Aug'!$A$14:$A$23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'July-Aug'!$C$14:$C$23</c:f>
              <c:numCache>
                <c:formatCode>General</c:formatCode>
                <c:ptCount val="10"/>
                <c:pt idx="0">
                  <c:v>33.225960550522402</c:v>
                </c:pt>
                <c:pt idx="1">
                  <c:v>33.068596338115199</c:v>
                </c:pt>
                <c:pt idx="2">
                  <c:v>31.302416625756798</c:v>
                </c:pt>
                <c:pt idx="3">
                  <c:v>31.704107365588499</c:v>
                </c:pt>
                <c:pt idx="4">
                  <c:v>34.9094731876244</c:v>
                </c:pt>
                <c:pt idx="5">
                  <c:v>33.637074578628699</c:v>
                </c:pt>
                <c:pt idx="6">
                  <c:v>32.178409316532999</c:v>
                </c:pt>
                <c:pt idx="7">
                  <c:v>32.909356860207403</c:v>
                </c:pt>
                <c:pt idx="8">
                  <c:v>33.374230667099198</c:v>
                </c:pt>
                <c:pt idx="9">
                  <c:v>33.544147893598101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21-435D-A5FE-17AE53EF13E0}"/>
            </c:ext>
          </c:extLst>
        </c:ser>
        <c:ser>
          <c:idx val="2"/>
          <c:order val="2"/>
          <c:tx>
            <c:strRef>
              <c:f>'July-Aug'!$A$37</c:f>
              <c:strCache>
                <c:ptCount val="1"/>
                <c:pt idx="0">
                  <c:v>Αγροτική/Ημιαστική περιοχή Ξάνθης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'July-Aug'!$C$38:$C$47</c:f>
              <c:numCache>
                <c:formatCode>General</c:formatCode>
                <c:ptCount val="10"/>
                <c:pt idx="0">
                  <c:v>40.139639418541798</c:v>
                </c:pt>
                <c:pt idx="1">
                  <c:v>38.755983605616997</c:v>
                </c:pt>
                <c:pt idx="2">
                  <c:v>35.940505300353301</c:v>
                </c:pt>
                <c:pt idx="3">
                  <c:v>35.857240963394702</c:v>
                </c:pt>
                <c:pt idx="4">
                  <c:v>40.5503322351476</c:v>
                </c:pt>
                <c:pt idx="5">
                  <c:v>39.719615009254603</c:v>
                </c:pt>
                <c:pt idx="6">
                  <c:v>36.605813849626998</c:v>
                </c:pt>
                <c:pt idx="7">
                  <c:v>38.835034936059202</c:v>
                </c:pt>
                <c:pt idx="8">
                  <c:v>38.806044051060802</c:v>
                </c:pt>
                <c:pt idx="9">
                  <c:v>42.601548334174602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21-435D-A5FE-17AE53EF1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9359439"/>
        <c:axId val="1189361519"/>
      </c:lineChart>
      <c:catAx>
        <c:axId val="1189359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Μήνας-Χρόνος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189361519"/>
        <c:crosses val="autoZero"/>
        <c:auto val="1"/>
        <c:lblAlgn val="ctr"/>
        <c:lblOffset val="100"/>
        <c:noMultiLvlLbl val="0"/>
      </c:catAx>
      <c:valAx>
        <c:axId val="1189361519"/>
        <c:scaling>
          <c:orientation val="minMax"/>
          <c:max val="44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Θερμοκρασία επιφάνειας εδάφους </a:t>
                </a:r>
                <a:r>
                  <a:rPr lang="en-US" sz="1000" b="0" i="0" baseline="0">
                    <a:effectLst/>
                  </a:rPr>
                  <a:t>°C</a:t>
                </a:r>
                <a:endParaRPr lang="el-GR" sz="1000">
                  <a:effectLst/>
                </a:endParaRPr>
              </a:p>
            </c:rich>
          </c:tx>
          <c:layout>
            <c:manualLayout>
              <c:xMode val="edge"/>
              <c:yMode val="edge"/>
              <c:x val="2.6493256262042388E-2"/>
              <c:y val="0.127982456140350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18935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u="none" strike="noStrike" baseline="0">
                <a:effectLst/>
              </a:rPr>
              <a:t>Μέση νυχτερινή θερμοκρασία επιφάνειας εδάφους </a:t>
            </a:r>
            <a:r>
              <a:rPr lang="el-GR" baseline="0"/>
              <a:t>Ξάνθης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'July-Aug'!$F$1</c:f>
              <c:strCache>
                <c:ptCount val="1"/>
                <c:pt idx="0">
                  <c:v>Αστική Περιοχή Ξάνθης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'July-Aug'!$H$38:$H$47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'July-Aug'!$I$2:$I$11</c:f>
              <c:numCache>
                <c:formatCode>General</c:formatCode>
                <c:ptCount val="10"/>
                <c:pt idx="0">
                  <c:v>19.6952957749603</c:v>
                </c:pt>
                <c:pt idx="1">
                  <c:v>20.894963212876402</c:v>
                </c:pt>
                <c:pt idx="2">
                  <c:v>20.0377870883807</c:v>
                </c:pt>
                <c:pt idx="3">
                  <c:v>21.3057946093483</c:v>
                </c:pt>
                <c:pt idx="4">
                  <c:v>22.5005224113773</c:v>
                </c:pt>
                <c:pt idx="5">
                  <c:v>21.347361212652899</c:v>
                </c:pt>
                <c:pt idx="6">
                  <c:v>20.5503838018004</c:v>
                </c:pt>
                <c:pt idx="7">
                  <c:v>21.533191442390699</c:v>
                </c:pt>
                <c:pt idx="8">
                  <c:v>21.211446273391601</c:v>
                </c:pt>
                <c:pt idx="9">
                  <c:v>21.483887079294298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CB-4A62-B028-A5882E33B8E4}"/>
            </c:ext>
          </c:extLst>
        </c:ser>
        <c:ser>
          <c:idx val="1"/>
          <c:order val="1"/>
          <c:tx>
            <c:strRef>
              <c:f>'July-Aug'!$F$13</c:f>
              <c:strCache>
                <c:ptCount val="1"/>
                <c:pt idx="0">
                  <c:v>Δασικές Περιοχές Ξάνθης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'July-Aug'!$H$38:$H$47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'July-Aug'!$I$14:$I$23</c:f>
              <c:numCache>
                <c:formatCode>General</c:formatCode>
                <c:ptCount val="10"/>
                <c:pt idx="0">
                  <c:v>17.724230167153699</c:v>
                </c:pt>
                <c:pt idx="1">
                  <c:v>18.1791345385755</c:v>
                </c:pt>
                <c:pt idx="2">
                  <c:v>18.3368578519609</c:v>
                </c:pt>
                <c:pt idx="3">
                  <c:v>18.582463580838098</c:v>
                </c:pt>
                <c:pt idx="4">
                  <c:v>19.789562735851401</c:v>
                </c:pt>
                <c:pt idx="5">
                  <c:v>19.997899908669599</c:v>
                </c:pt>
                <c:pt idx="6">
                  <c:v>18.387805251004501</c:v>
                </c:pt>
                <c:pt idx="7">
                  <c:v>19.014131207344199</c:v>
                </c:pt>
                <c:pt idx="8">
                  <c:v>18.931005398858499</c:v>
                </c:pt>
                <c:pt idx="9">
                  <c:v>18.609519314496101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CB-4A62-B028-A5882E33B8E4}"/>
            </c:ext>
          </c:extLst>
        </c:ser>
        <c:ser>
          <c:idx val="2"/>
          <c:order val="2"/>
          <c:tx>
            <c:strRef>
              <c:f>'July-Aug'!$G$37</c:f>
              <c:strCache>
                <c:ptCount val="1"/>
                <c:pt idx="0">
                  <c:v>Αγροτική/Ημιαστική περιοχή Ξάνθης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'July-Aug'!$H$38:$H$47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'July-Aug'!$J$38:$J$47</c:f>
              <c:numCache>
                <c:formatCode>General</c:formatCode>
                <c:ptCount val="10"/>
                <c:pt idx="0">
                  <c:v>17.647549768452699</c:v>
                </c:pt>
                <c:pt idx="1">
                  <c:v>18.1830789163722</c:v>
                </c:pt>
                <c:pt idx="2">
                  <c:v>17.486305942290901</c:v>
                </c:pt>
                <c:pt idx="3">
                  <c:v>19.046746752234402</c:v>
                </c:pt>
                <c:pt idx="4">
                  <c:v>19.784624753338498</c:v>
                </c:pt>
                <c:pt idx="5">
                  <c:v>19.874128573723102</c:v>
                </c:pt>
                <c:pt idx="6">
                  <c:v>18.429594382109801</c:v>
                </c:pt>
                <c:pt idx="7">
                  <c:v>18.4197377969498</c:v>
                </c:pt>
                <c:pt idx="8">
                  <c:v>18.461681581326001</c:v>
                </c:pt>
                <c:pt idx="9">
                  <c:v>18.997683910612299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CB-4A62-B028-A5882E33B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517312"/>
        <c:axId val="2080505664"/>
      </c:lineChart>
      <c:catAx>
        <c:axId val="2080517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Μήνας-Χρόνος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080505664"/>
        <c:crosses val="autoZero"/>
        <c:auto val="1"/>
        <c:lblAlgn val="ctr"/>
        <c:lblOffset val="100"/>
        <c:noMultiLvlLbl val="0"/>
      </c:catAx>
      <c:valAx>
        <c:axId val="2080505664"/>
        <c:scaling>
          <c:orientation val="minMax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Θερμοκρασία επιφάνειας εδάφους </a:t>
                </a:r>
                <a:r>
                  <a:rPr lang="en-US" sz="1000" b="0" i="0" baseline="0">
                    <a:effectLst/>
                  </a:rPr>
                  <a:t>°C</a:t>
                </a:r>
                <a:endParaRPr lang="el-GR" sz="1000">
                  <a:effectLst/>
                </a:endParaRPr>
              </a:p>
            </c:rich>
          </c:tx>
          <c:layout>
            <c:manualLayout>
              <c:xMode val="edge"/>
              <c:yMode val="edge"/>
              <c:x val="2.3980815347721823E-2"/>
              <c:y val="0.145335085413929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08051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LUHI Intensity Urban-Forest</a:t>
            </a:r>
            <a:r>
              <a:rPr lang="en-US" baseline="0"/>
              <a:t> Xanthi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LUHI Intensity Day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'July-Aug'!$B$79:$B$88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'July-Aug'!$C$79:$C$88</c:f>
              <c:numCache>
                <c:formatCode>General</c:formatCode>
                <c:ptCount val="10"/>
                <c:pt idx="0">
                  <c:v>5.4735983736649985</c:v>
                </c:pt>
                <c:pt idx="1">
                  <c:v>5.8444327759528036</c:v>
                </c:pt>
                <c:pt idx="2">
                  <c:v>3.7842211542955013</c:v>
                </c:pt>
                <c:pt idx="3">
                  <c:v>7.045432696873803</c:v>
                </c:pt>
                <c:pt idx="4">
                  <c:v>3.9066152091374988</c:v>
                </c:pt>
                <c:pt idx="5">
                  <c:v>5.1790138181331997</c:v>
                </c:pt>
                <c:pt idx="6">
                  <c:v>4.4331317004507014</c:v>
                </c:pt>
                <c:pt idx="7">
                  <c:v>7.5866383782626983</c:v>
                </c:pt>
                <c:pt idx="8">
                  <c:v>5.2289239364002995</c:v>
                </c:pt>
                <c:pt idx="9">
                  <c:v>6.6306073352512982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08-48A7-97C0-4B63640DF24C}"/>
            </c:ext>
          </c:extLst>
        </c:ser>
        <c:ser>
          <c:idx val="1"/>
          <c:order val="1"/>
          <c:tx>
            <c:v>LUHI Intensity Night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'July-Aug'!$B$79:$B$88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'July-Aug'!$F$79:$F$88</c:f>
              <c:numCache>
                <c:formatCode>General</c:formatCode>
                <c:ptCount val="10"/>
                <c:pt idx="0">
                  <c:v>1.9710656078066009</c:v>
                </c:pt>
                <c:pt idx="1">
                  <c:v>2.7158286743009015</c:v>
                </c:pt>
                <c:pt idx="2">
                  <c:v>1.7009292364197997</c:v>
                </c:pt>
                <c:pt idx="3">
                  <c:v>2.7233310285102021</c:v>
                </c:pt>
                <c:pt idx="4">
                  <c:v>2.7109596755258991</c:v>
                </c:pt>
                <c:pt idx="5">
                  <c:v>1.3494613039833006</c:v>
                </c:pt>
                <c:pt idx="6">
                  <c:v>2.1625785507958994</c:v>
                </c:pt>
                <c:pt idx="7">
                  <c:v>2.5190602350464992</c:v>
                </c:pt>
                <c:pt idx="8">
                  <c:v>2.2804408745331024</c:v>
                </c:pt>
                <c:pt idx="9">
                  <c:v>2.8743677647981976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08-48A7-97C0-4B63640DF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623855"/>
        <c:axId val="723624271"/>
      </c:lineChart>
      <c:catAx>
        <c:axId val="723623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23624271"/>
        <c:crosses val="autoZero"/>
        <c:auto val="1"/>
        <c:lblAlgn val="ctr"/>
        <c:lblOffset val="100"/>
        <c:noMultiLvlLbl val="0"/>
      </c:catAx>
      <c:valAx>
        <c:axId val="723624271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Land surface temperature diffeence oC</a:t>
                </a:r>
                <a:endParaRPr lang="el-GR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2362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LUHI Intensity Urban-SemiUrban</a:t>
            </a:r>
            <a:r>
              <a:rPr lang="en-US" baseline="0"/>
              <a:t> Xanthi</a:t>
            </a:r>
            <a:r>
              <a:rPr lang="en-US"/>
              <a:t>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LUHI Intensity Day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'July-Aug'!$K$79:$K$88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'July-Aug'!$I$79:$I$88</c:f>
              <c:numCache>
                <c:formatCode>General</c:formatCode>
                <c:ptCount val="10"/>
                <c:pt idx="0">
                  <c:v>-1.4400804943543974</c:v>
                </c:pt>
                <c:pt idx="1">
                  <c:v>0.15704550845100584</c:v>
                </c:pt>
                <c:pt idx="2">
                  <c:v>-0.85386752030100155</c:v>
                </c:pt>
                <c:pt idx="3">
                  <c:v>2.8922990990675999</c:v>
                </c:pt>
                <c:pt idx="4">
                  <c:v>-1.7342438383857015</c:v>
                </c:pt>
                <c:pt idx="5">
                  <c:v>-0.90352661249270483</c:v>
                </c:pt>
                <c:pt idx="6">
                  <c:v>5.7271673567029779E-3</c:v>
                </c:pt>
                <c:pt idx="7">
                  <c:v>1.6609603024108992</c:v>
                </c:pt>
                <c:pt idx="8">
                  <c:v>-0.20288944756130434</c:v>
                </c:pt>
                <c:pt idx="9">
                  <c:v>-2.4267931053252028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E4-4ABE-A415-7613E021C44E}"/>
            </c:ext>
          </c:extLst>
        </c:ser>
        <c:ser>
          <c:idx val="1"/>
          <c:order val="1"/>
          <c:tx>
            <c:v>LUHI Intensity Night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'July-Aug'!$K$79:$K$88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'July-Aug'!$L$79:$L$88</c:f>
              <c:numCache>
                <c:formatCode>General</c:formatCode>
                <c:ptCount val="10"/>
                <c:pt idx="0">
                  <c:v>2.0477460065076016</c:v>
                </c:pt>
                <c:pt idx="1">
                  <c:v>2.711884296504202</c:v>
                </c:pt>
                <c:pt idx="2">
                  <c:v>2.5514811460897988</c:v>
                </c:pt>
                <c:pt idx="3">
                  <c:v>2.2590478571138988</c:v>
                </c:pt>
                <c:pt idx="4">
                  <c:v>2.7158976580388021</c:v>
                </c:pt>
                <c:pt idx="5">
                  <c:v>1.4732326389297974</c:v>
                </c:pt>
                <c:pt idx="6">
                  <c:v>2.120789419690599</c:v>
                </c:pt>
                <c:pt idx="7">
                  <c:v>3.1134536454408988</c:v>
                </c:pt>
                <c:pt idx="8">
                  <c:v>2.7497646920656003</c:v>
                </c:pt>
                <c:pt idx="9">
                  <c:v>2.4862031686819996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E4-4ABE-A415-7613E021C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8890767"/>
        <c:axId val="858902831"/>
      </c:lineChart>
      <c:catAx>
        <c:axId val="858890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58902831"/>
        <c:crosses val="autoZero"/>
        <c:auto val="1"/>
        <c:lblAlgn val="ctr"/>
        <c:lblOffset val="100"/>
        <c:noMultiLvlLbl val="0"/>
      </c:catAx>
      <c:valAx>
        <c:axId val="85890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0" i="0" baseline="0">
                    <a:effectLst/>
                  </a:rPr>
                  <a:t>Land surface temperature diffeence oC</a:t>
                </a:r>
                <a:endParaRPr lang="el-GR" sz="5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5889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baseline="0">
                <a:effectLst/>
              </a:rPr>
              <a:t>Μέση ημερήσια θερμοκρασία επιφάνειας εδάφους Ξάνθης</a:t>
            </a:r>
            <a:endParaRPr lang="el-GR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Αστική Περιοχή Ξάνθης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'Nov-Dec'!$A$38:$A$47</c:f>
              <c:strCache>
                <c:ptCount val="10"/>
                <c:pt idx="0">
                  <c:v>Nov-Dec 2008</c:v>
                </c:pt>
                <c:pt idx="1">
                  <c:v>Nov-Dec 2009</c:v>
                </c:pt>
                <c:pt idx="2">
                  <c:v>Nov-Dec 2010</c:v>
                </c:pt>
                <c:pt idx="3">
                  <c:v>Nov-Dec 2011</c:v>
                </c:pt>
                <c:pt idx="4">
                  <c:v>Nov-Dec 2012</c:v>
                </c:pt>
                <c:pt idx="5">
                  <c:v>Nov-Dec 2013</c:v>
                </c:pt>
                <c:pt idx="6">
                  <c:v>Nov-Dec 2014</c:v>
                </c:pt>
                <c:pt idx="7">
                  <c:v>Nov-Dec 2015</c:v>
                </c:pt>
                <c:pt idx="8">
                  <c:v>Nov-Dec 2016</c:v>
                </c:pt>
                <c:pt idx="9">
                  <c:v>Nov-Dec 2017</c:v>
                </c:pt>
              </c:strCache>
            </c:strRef>
          </c:cat>
          <c:val>
            <c:numRef>
              <c:f>'Nov-Dec'!$C$2:$C$11</c:f>
              <c:numCache>
                <c:formatCode>General</c:formatCode>
                <c:ptCount val="10"/>
                <c:pt idx="0">
                  <c:v>14.9746879542611</c:v>
                </c:pt>
                <c:pt idx="1">
                  <c:v>14.7518766957482</c:v>
                </c:pt>
                <c:pt idx="2">
                  <c:v>15.7847668687505</c:v>
                </c:pt>
                <c:pt idx="3">
                  <c:v>12.5947030225157</c:v>
                </c:pt>
                <c:pt idx="4">
                  <c:v>13.7761844649153</c:v>
                </c:pt>
                <c:pt idx="5">
                  <c:v>12.742091954701699</c:v>
                </c:pt>
                <c:pt idx="6">
                  <c:v>13.7974704347171</c:v>
                </c:pt>
                <c:pt idx="7">
                  <c:v>15.5136170494807</c:v>
                </c:pt>
                <c:pt idx="8">
                  <c:v>12.023572785280701</c:v>
                </c:pt>
                <c:pt idx="9">
                  <c:v>12.0632577187398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CA-4E09-B469-48737499D2E2}"/>
            </c:ext>
          </c:extLst>
        </c:ser>
        <c:ser>
          <c:idx val="1"/>
          <c:order val="1"/>
          <c:tx>
            <c:v>Δασικές Περιοχές Ξάνθης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'Nov-Dec'!$A$38:$A$47</c:f>
              <c:strCache>
                <c:ptCount val="10"/>
                <c:pt idx="0">
                  <c:v>Nov-Dec 2008</c:v>
                </c:pt>
                <c:pt idx="1">
                  <c:v>Nov-Dec 2009</c:v>
                </c:pt>
                <c:pt idx="2">
                  <c:v>Nov-Dec 2010</c:v>
                </c:pt>
                <c:pt idx="3">
                  <c:v>Nov-Dec 2011</c:v>
                </c:pt>
                <c:pt idx="4">
                  <c:v>Nov-Dec 2012</c:v>
                </c:pt>
                <c:pt idx="5">
                  <c:v>Nov-Dec 2013</c:v>
                </c:pt>
                <c:pt idx="6">
                  <c:v>Nov-Dec 2014</c:v>
                </c:pt>
                <c:pt idx="7">
                  <c:v>Nov-Dec 2015</c:v>
                </c:pt>
                <c:pt idx="8">
                  <c:v>Nov-Dec 2016</c:v>
                </c:pt>
                <c:pt idx="9">
                  <c:v>Nov-Dec 2017</c:v>
                </c:pt>
              </c:strCache>
            </c:strRef>
          </c:cat>
          <c:val>
            <c:numRef>
              <c:f>'Nov-Dec'!$C$26:$C$35</c:f>
              <c:numCache>
                <c:formatCode>General</c:formatCode>
                <c:ptCount val="10"/>
                <c:pt idx="0">
                  <c:v>12.646787598181399</c:v>
                </c:pt>
                <c:pt idx="1">
                  <c:v>10.963154411352299</c:v>
                </c:pt>
                <c:pt idx="2">
                  <c:v>14.2227571365115</c:v>
                </c:pt>
                <c:pt idx="3">
                  <c:v>8.8918367475852094</c:v>
                </c:pt>
                <c:pt idx="4">
                  <c:v>10.9424817355371</c:v>
                </c:pt>
                <c:pt idx="5">
                  <c:v>12.154047401484799</c:v>
                </c:pt>
                <c:pt idx="6">
                  <c:v>10.9321921672464</c:v>
                </c:pt>
                <c:pt idx="7">
                  <c:v>13.2165832841417</c:v>
                </c:pt>
                <c:pt idx="8">
                  <c:v>8.6765517744700098</c:v>
                </c:pt>
                <c:pt idx="9">
                  <c:v>9.0548075434940305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CA-4E09-B469-48737499D2E2}"/>
            </c:ext>
          </c:extLst>
        </c:ser>
        <c:ser>
          <c:idx val="2"/>
          <c:order val="2"/>
          <c:tx>
            <c:v>Αγροτική/Ημιαστική Περιοχή Ξάνθης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'Nov-Dec'!$A$38:$A$47</c:f>
              <c:strCache>
                <c:ptCount val="10"/>
                <c:pt idx="0">
                  <c:v>Nov-Dec 2008</c:v>
                </c:pt>
                <c:pt idx="1">
                  <c:v>Nov-Dec 2009</c:v>
                </c:pt>
                <c:pt idx="2">
                  <c:v>Nov-Dec 2010</c:v>
                </c:pt>
                <c:pt idx="3">
                  <c:v>Nov-Dec 2011</c:v>
                </c:pt>
                <c:pt idx="4">
                  <c:v>Nov-Dec 2012</c:v>
                </c:pt>
                <c:pt idx="5">
                  <c:v>Nov-Dec 2013</c:v>
                </c:pt>
                <c:pt idx="6">
                  <c:v>Nov-Dec 2014</c:v>
                </c:pt>
                <c:pt idx="7">
                  <c:v>Nov-Dec 2015</c:v>
                </c:pt>
                <c:pt idx="8">
                  <c:v>Nov-Dec 2016</c:v>
                </c:pt>
                <c:pt idx="9">
                  <c:v>Nov-Dec 2017</c:v>
                </c:pt>
              </c:strCache>
            </c:strRef>
          </c:cat>
          <c:val>
            <c:numRef>
              <c:f>'Nov-Dec'!$C$38:$C$47</c:f>
              <c:numCache>
                <c:formatCode>General</c:formatCode>
                <c:ptCount val="10"/>
                <c:pt idx="0">
                  <c:v>13.521967020023499</c:v>
                </c:pt>
                <c:pt idx="1">
                  <c:v>13.167906360424</c:v>
                </c:pt>
                <c:pt idx="2">
                  <c:v>15.975034073700099</c:v>
                </c:pt>
                <c:pt idx="3">
                  <c:v>14.3898939929328</c:v>
                </c:pt>
                <c:pt idx="4">
                  <c:v>17.572883931439598</c:v>
                </c:pt>
                <c:pt idx="5">
                  <c:v>15.9259759877931</c:v>
                </c:pt>
                <c:pt idx="6">
                  <c:v>14.577974928487301</c:v>
                </c:pt>
                <c:pt idx="7">
                  <c:v>17.082285041224999</c:v>
                </c:pt>
                <c:pt idx="8">
                  <c:v>13.826898424994701</c:v>
                </c:pt>
                <c:pt idx="9">
                  <c:v>11.1222820302979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CA-4E09-B469-48737499D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994352"/>
        <c:axId val="1112995184"/>
      </c:lineChart>
      <c:catAx>
        <c:axId val="1112994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Μήνας-Χρόνος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112995184"/>
        <c:crosses val="autoZero"/>
        <c:auto val="1"/>
        <c:lblAlgn val="ctr"/>
        <c:lblOffset val="100"/>
        <c:noMultiLvlLbl val="0"/>
      </c:catAx>
      <c:valAx>
        <c:axId val="1112995184"/>
        <c:scaling>
          <c:orientation val="minMax"/>
          <c:max val="18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/>
                  <a:t>Θερμοκρασία επιφάνειας εδάφους</a:t>
                </a:r>
                <a:r>
                  <a:rPr lang="en-US" sz="1000" b="0" i="0" baseline="0">
                    <a:effectLst/>
                  </a:rPr>
                  <a:t>°C</a:t>
                </a:r>
                <a:endParaRPr lang="el-GR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11299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baseline="0">
                <a:effectLst/>
              </a:rPr>
              <a:t>Μέση νυχτερινή θερμοκρασία επιφάνειας εδάφους Ξάνθης</a:t>
            </a:r>
            <a:endParaRPr lang="el-GR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Αστική Περιοχή Ξάνθης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'Nov-Dec'!$G$38:$G$47</c:f>
              <c:strCache>
                <c:ptCount val="10"/>
                <c:pt idx="0">
                  <c:v>Nov-Dec 2008</c:v>
                </c:pt>
                <c:pt idx="1">
                  <c:v>Nov-Dec 2009</c:v>
                </c:pt>
                <c:pt idx="2">
                  <c:v>Nov-Dec 2010</c:v>
                </c:pt>
                <c:pt idx="3">
                  <c:v>Nov-Dec 2011</c:v>
                </c:pt>
                <c:pt idx="4">
                  <c:v>Nov-Dec 2012</c:v>
                </c:pt>
                <c:pt idx="5">
                  <c:v>Nov-Dec 2013</c:v>
                </c:pt>
                <c:pt idx="6">
                  <c:v>Nov-Dec 2014</c:v>
                </c:pt>
                <c:pt idx="7">
                  <c:v>Nov-Dec 2015</c:v>
                </c:pt>
                <c:pt idx="8">
                  <c:v>Nov-Dec 2016</c:v>
                </c:pt>
                <c:pt idx="9">
                  <c:v>Nov-Dec 2017</c:v>
                </c:pt>
              </c:strCache>
            </c:strRef>
          </c:cat>
          <c:val>
            <c:numRef>
              <c:f>'Nov-Dec'!$I$2:$I$11</c:f>
              <c:numCache>
                <c:formatCode>General</c:formatCode>
                <c:ptCount val="10"/>
                <c:pt idx="0">
                  <c:v>5.4395379478786499</c:v>
                </c:pt>
                <c:pt idx="1">
                  <c:v>6.1895703682988996</c:v>
                </c:pt>
                <c:pt idx="2">
                  <c:v>6.9507202719402699</c:v>
                </c:pt>
                <c:pt idx="3">
                  <c:v>2.5135554989244402</c:v>
                </c:pt>
                <c:pt idx="4">
                  <c:v>5.8562312461988304</c:v>
                </c:pt>
                <c:pt idx="5">
                  <c:v>3.2971554878193801</c:v>
                </c:pt>
                <c:pt idx="6">
                  <c:v>5.0911959333680796</c:v>
                </c:pt>
                <c:pt idx="7">
                  <c:v>5.8934077364985704</c:v>
                </c:pt>
                <c:pt idx="8">
                  <c:v>2.4346326149548099</c:v>
                </c:pt>
                <c:pt idx="9">
                  <c:v>3.6068978916810299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5E-42A1-A9C1-57B0A1433A9C}"/>
            </c:ext>
          </c:extLst>
        </c:ser>
        <c:ser>
          <c:idx val="1"/>
          <c:order val="1"/>
          <c:tx>
            <c:v>Δασικές Περιοχές Ξάνθης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'Nov-Dec'!$G$38:$G$47</c:f>
              <c:strCache>
                <c:ptCount val="10"/>
                <c:pt idx="0">
                  <c:v>Nov-Dec 2008</c:v>
                </c:pt>
                <c:pt idx="1">
                  <c:v>Nov-Dec 2009</c:v>
                </c:pt>
                <c:pt idx="2">
                  <c:v>Nov-Dec 2010</c:v>
                </c:pt>
                <c:pt idx="3">
                  <c:v>Nov-Dec 2011</c:v>
                </c:pt>
                <c:pt idx="4">
                  <c:v>Nov-Dec 2012</c:v>
                </c:pt>
                <c:pt idx="5">
                  <c:v>Nov-Dec 2013</c:v>
                </c:pt>
                <c:pt idx="6">
                  <c:v>Nov-Dec 2014</c:v>
                </c:pt>
                <c:pt idx="7">
                  <c:v>Nov-Dec 2015</c:v>
                </c:pt>
                <c:pt idx="8">
                  <c:v>Nov-Dec 2016</c:v>
                </c:pt>
                <c:pt idx="9">
                  <c:v>Nov-Dec 2017</c:v>
                </c:pt>
              </c:strCache>
            </c:strRef>
          </c:cat>
          <c:val>
            <c:numRef>
              <c:f>'Nov-Dec'!$I$26:$I$35</c:f>
              <c:numCache>
                <c:formatCode>General</c:formatCode>
                <c:ptCount val="10"/>
                <c:pt idx="0">
                  <c:v>4.7932444717856102</c:v>
                </c:pt>
                <c:pt idx="1">
                  <c:v>4.7694053544770298</c:v>
                </c:pt>
                <c:pt idx="2">
                  <c:v>6.2920554673482298</c:v>
                </c:pt>
                <c:pt idx="3">
                  <c:v>1.1647045246983201</c:v>
                </c:pt>
                <c:pt idx="4">
                  <c:v>4.55599283122217</c:v>
                </c:pt>
                <c:pt idx="5">
                  <c:v>3.34912739069813</c:v>
                </c:pt>
                <c:pt idx="6">
                  <c:v>3.9523216463402302</c:v>
                </c:pt>
                <c:pt idx="7">
                  <c:v>5.8934077364985704</c:v>
                </c:pt>
                <c:pt idx="8">
                  <c:v>1.6486128794922801</c:v>
                </c:pt>
                <c:pt idx="9">
                  <c:v>2.7633316765093099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5E-42A1-A9C1-57B0A1433A9C}"/>
            </c:ext>
          </c:extLst>
        </c:ser>
        <c:ser>
          <c:idx val="2"/>
          <c:order val="2"/>
          <c:tx>
            <c:v>Αγροτική/Ημιαστική Περιοχή Ξάνθης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'Nov-Dec'!$G$38:$G$47</c:f>
              <c:strCache>
                <c:ptCount val="10"/>
                <c:pt idx="0">
                  <c:v>Nov-Dec 2008</c:v>
                </c:pt>
                <c:pt idx="1">
                  <c:v>Nov-Dec 2009</c:v>
                </c:pt>
                <c:pt idx="2">
                  <c:v>Nov-Dec 2010</c:v>
                </c:pt>
                <c:pt idx="3">
                  <c:v>Nov-Dec 2011</c:v>
                </c:pt>
                <c:pt idx="4">
                  <c:v>Nov-Dec 2012</c:v>
                </c:pt>
                <c:pt idx="5">
                  <c:v>Nov-Dec 2013</c:v>
                </c:pt>
                <c:pt idx="6">
                  <c:v>Nov-Dec 2014</c:v>
                </c:pt>
                <c:pt idx="7">
                  <c:v>Nov-Dec 2015</c:v>
                </c:pt>
                <c:pt idx="8">
                  <c:v>Nov-Dec 2016</c:v>
                </c:pt>
                <c:pt idx="9">
                  <c:v>Nov-Dec 2017</c:v>
                </c:pt>
              </c:strCache>
            </c:strRef>
          </c:cat>
          <c:val>
            <c:numRef>
              <c:f>'Nov-Dec'!$J$38:$J$47</c:f>
              <c:numCache>
                <c:formatCode>General</c:formatCode>
                <c:ptCount val="10"/>
                <c:pt idx="0">
                  <c:v>5.6822099926306899</c:v>
                </c:pt>
                <c:pt idx="1">
                  <c:v>6.3908109411201499</c:v>
                </c:pt>
                <c:pt idx="2">
                  <c:v>5.5729623799836103</c:v>
                </c:pt>
                <c:pt idx="3">
                  <c:v>0.76042861952538199</c:v>
                </c:pt>
                <c:pt idx="4">
                  <c:v>6.2622895187361003</c:v>
                </c:pt>
                <c:pt idx="5">
                  <c:v>4.1426820769533004</c:v>
                </c:pt>
                <c:pt idx="6">
                  <c:v>3.0959791998343502</c:v>
                </c:pt>
                <c:pt idx="7">
                  <c:v>5.1552567573769199</c:v>
                </c:pt>
                <c:pt idx="8">
                  <c:v>1.95109081142653</c:v>
                </c:pt>
                <c:pt idx="9">
                  <c:v>1.6970133127081199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5E-42A1-A9C1-57B0A1433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0177664"/>
        <c:axId val="1100176000"/>
      </c:lineChart>
      <c:catAx>
        <c:axId val="110017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100176000"/>
        <c:crosses val="autoZero"/>
        <c:auto val="1"/>
        <c:lblAlgn val="ctr"/>
        <c:lblOffset val="100"/>
        <c:noMultiLvlLbl val="0"/>
      </c:catAx>
      <c:valAx>
        <c:axId val="110017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Θερμοκρασία Επιφάνειας </a:t>
                </a:r>
                <a:r>
                  <a:rPr lang="el-GR" sz="1000"/>
                  <a:t>Εδάφους</a:t>
                </a:r>
                <a:r>
                  <a:rPr lang="en-US" sz="1000" b="0" i="0" baseline="0">
                    <a:effectLst/>
                  </a:rPr>
                  <a:t>°C</a:t>
                </a:r>
                <a:endParaRPr lang="el-GR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10017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LUHI Intensity over Xanthi Nov-Dec 8-17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'Nov-Dec'!$H$50</c:f>
              <c:strCache>
                <c:ptCount val="1"/>
                <c:pt idx="0">
                  <c:v>LUHI Intensity Night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'Nov-Dec'!$A$51:$A$60</c:f>
              <c:strCache>
                <c:ptCount val="10"/>
                <c:pt idx="0">
                  <c:v>Nov-Dec 2008</c:v>
                </c:pt>
                <c:pt idx="1">
                  <c:v>Nov-Dec 2009</c:v>
                </c:pt>
                <c:pt idx="2">
                  <c:v>Nov-Dec 2010</c:v>
                </c:pt>
                <c:pt idx="3">
                  <c:v>Nov-Dec 2011</c:v>
                </c:pt>
                <c:pt idx="4">
                  <c:v>Nov-Dec 2012</c:v>
                </c:pt>
                <c:pt idx="5">
                  <c:v>Nov-Dec 2013</c:v>
                </c:pt>
                <c:pt idx="6">
                  <c:v>Nov-Dec 2014</c:v>
                </c:pt>
                <c:pt idx="7">
                  <c:v>Nov-Dec 2015</c:v>
                </c:pt>
                <c:pt idx="8">
                  <c:v>Nov-Dec 2016</c:v>
                </c:pt>
                <c:pt idx="9">
                  <c:v>Nov-Dec 2017</c:v>
                </c:pt>
              </c:strCache>
            </c:strRef>
          </c:cat>
          <c:val>
            <c:numRef>
              <c:f>'Nov-Dec'!$H$51:$H$60</c:f>
              <c:numCache>
                <c:formatCode>General</c:formatCode>
                <c:ptCount val="10"/>
                <c:pt idx="0">
                  <c:v>0.29999723683975965</c:v>
                </c:pt>
                <c:pt idx="1">
                  <c:v>0.78040540615946963</c:v>
                </c:pt>
                <c:pt idx="2">
                  <c:v>0.93849562375813012</c:v>
                </c:pt>
                <c:pt idx="3">
                  <c:v>1.5073134611359202</c:v>
                </c:pt>
                <c:pt idx="4">
                  <c:v>0.6307082501323702</c:v>
                </c:pt>
                <c:pt idx="5">
                  <c:v>-0.36344796723694994</c:v>
                </c:pt>
                <c:pt idx="6">
                  <c:v>1.4756317718134495</c:v>
                </c:pt>
                <c:pt idx="7">
                  <c:v>0.28869349189826998</c:v>
                </c:pt>
                <c:pt idx="8">
                  <c:v>0.66746237502228989</c:v>
                </c:pt>
                <c:pt idx="9">
                  <c:v>1.2631690089700198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FB-4F61-8619-F8C3C5D27879}"/>
            </c:ext>
          </c:extLst>
        </c:ser>
        <c:ser>
          <c:idx val="1"/>
          <c:order val="1"/>
          <c:tx>
            <c:strRef>
              <c:f>'Nov-Dec'!$B$50</c:f>
              <c:strCache>
                <c:ptCount val="1"/>
                <c:pt idx="0">
                  <c:v>LUHI Intensity 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'Nov-Dec'!$A$51:$A$60</c:f>
              <c:strCache>
                <c:ptCount val="10"/>
                <c:pt idx="0">
                  <c:v>Nov-Dec 2008</c:v>
                </c:pt>
                <c:pt idx="1">
                  <c:v>Nov-Dec 2009</c:v>
                </c:pt>
                <c:pt idx="2">
                  <c:v>Nov-Dec 2010</c:v>
                </c:pt>
                <c:pt idx="3">
                  <c:v>Nov-Dec 2011</c:v>
                </c:pt>
                <c:pt idx="4">
                  <c:v>Nov-Dec 2012</c:v>
                </c:pt>
                <c:pt idx="5">
                  <c:v>Nov-Dec 2013</c:v>
                </c:pt>
                <c:pt idx="6">
                  <c:v>Nov-Dec 2014</c:v>
                </c:pt>
                <c:pt idx="7">
                  <c:v>Nov-Dec 2015</c:v>
                </c:pt>
                <c:pt idx="8">
                  <c:v>Nov-Dec 2016</c:v>
                </c:pt>
                <c:pt idx="9">
                  <c:v>Nov-Dec 2017</c:v>
                </c:pt>
              </c:strCache>
            </c:strRef>
          </c:cat>
          <c:val>
            <c:numRef>
              <c:f>'Nov-Dec'!$B$51:$B$60</c:f>
              <c:numCache>
                <c:formatCode>General</c:formatCode>
                <c:ptCount val="10"/>
                <c:pt idx="0">
                  <c:v>1.9858369536864995</c:v>
                </c:pt>
                <c:pt idx="1">
                  <c:v>2.8966001681459996</c:v>
                </c:pt>
                <c:pt idx="2">
                  <c:v>0.874672016725901</c:v>
                </c:pt>
                <c:pt idx="3">
                  <c:v>1.5386641825625009</c:v>
                </c:pt>
                <c:pt idx="4">
                  <c:v>0.22984060483359947</c:v>
                </c:pt>
                <c:pt idx="5">
                  <c:v>-0.89575092861370109</c:v>
                </c:pt>
                <c:pt idx="6">
                  <c:v>1.4306580289158006</c:v>
                </c:pt>
                <c:pt idx="7">
                  <c:v>0.7765457707955008</c:v>
                </c:pt>
                <c:pt idx="8">
                  <c:v>1.3193889165556012</c:v>
                </c:pt>
                <c:pt idx="9">
                  <c:v>2.1915686058296711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FB-4F61-8619-F8C3C5D27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3146976"/>
        <c:axId val="1203136160"/>
      </c:lineChart>
      <c:catAx>
        <c:axId val="1203146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203136160"/>
        <c:crosses val="autoZero"/>
        <c:auto val="1"/>
        <c:lblAlgn val="ctr"/>
        <c:lblOffset val="1000"/>
        <c:noMultiLvlLbl val="0"/>
      </c:catAx>
      <c:valAx>
        <c:axId val="1203136160"/>
        <c:scaling>
          <c:orientation val="minMax"/>
          <c:max val="3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Land Surface Temperature Difference </a:t>
                </a:r>
                <a:r>
                  <a:rPr lang="en-US" sz="1000" b="0" i="0" baseline="0">
                    <a:effectLst/>
                  </a:rPr>
                  <a:t>°C</a:t>
                </a:r>
                <a:endParaRPr lang="el-GR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20314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LUHI Intensity Urban-Forest</a:t>
            </a:r>
            <a:r>
              <a:rPr lang="en-US" baseline="0"/>
              <a:t> Xanthi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LUHI Intensity Day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'Nov-Dec'!$A$66:$A$75</c:f>
              <c:strCache>
                <c:ptCount val="10"/>
                <c:pt idx="0">
                  <c:v>Nov-Dec 2008</c:v>
                </c:pt>
                <c:pt idx="1">
                  <c:v>Nov-Dec 2009</c:v>
                </c:pt>
                <c:pt idx="2">
                  <c:v>Nov-Dec 2010</c:v>
                </c:pt>
                <c:pt idx="3">
                  <c:v>Nov-Dec 2011</c:v>
                </c:pt>
                <c:pt idx="4">
                  <c:v>Nov-Dec 2012</c:v>
                </c:pt>
                <c:pt idx="5">
                  <c:v>Nov-Dec 2013</c:v>
                </c:pt>
                <c:pt idx="6">
                  <c:v>Nov-Dec 2014</c:v>
                </c:pt>
                <c:pt idx="7">
                  <c:v>Nov-Dec 2015</c:v>
                </c:pt>
                <c:pt idx="8">
                  <c:v>Nov-Dec 2016</c:v>
                </c:pt>
                <c:pt idx="9">
                  <c:v>Nov-Dec 2017</c:v>
                </c:pt>
              </c:strCache>
            </c:strRef>
          </c:cat>
          <c:val>
            <c:numRef>
              <c:f>'Nov-Dec'!$B$66:$B$75</c:f>
              <c:numCache>
                <c:formatCode>General</c:formatCode>
                <c:ptCount val="10"/>
                <c:pt idx="0">
                  <c:v>2.3279003560797005</c:v>
                </c:pt>
                <c:pt idx="1">
                  <c:v>3.7887222843959005</c:v>
                </c:pt>
                <c:pt idx="2">
                  <c:v>1.5620097322389999</c:v>
                </c:pt>
                <c:pt idx="3">
                  <c:v>3.702866274930491</c:v>
                </c:pt>
                <c:pt idx="4">
                  <c:v>2.8337027293781993</c:v>
                </c:pt>
                <c:pt idx="5">
                  <c:v>0.58804455321689986</c:v>
                </c:pt>
                <c:pt idx="6">
                  <c:v>2.8652782674706998</c:v>
                </c:pt>
                <c:pt idx="7">
                  <c:v>2.2970337653390001</c:v>
                </c:pt>
                <c:pt idx="8">
                  <c:v>3.3470210108106908</c:v>
                </c:pt>
                <c:pt idx="9">
                  <c:v>3.0084501752457697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13-4749-92C2-033B115B5BC6}"/>
            </c:ext>
          </c:extLst>
        </c:ser>
        <c:ser>
          <c:idx val="1"/>
          <c:order val="1"/>
          <c:tx>
            <c:v>LUHI Intensity Night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'Nov-Dec'!$A$66:$A$75</c:f>
              <c:strCache>
                <c:ptCount val="10"/>
                <c:pt idx="0">
                  <c:v>Nov-Dec 2008</c:v>
                </c:pt>
                <c:pt idx="1">
                  <c:v>Nov-Dec 2009</c:v>
                </c:pt>
                <c:pt idx="2">
                  <c:v>Nov-Dec 2010</c:v>
                </c:pt>
                <c:pt idx="3">
                  <c:v>Nov-Dec 2011</c:v>
                </c:pt>
                <c:pt idx="4">
                  <c:v>Nov-Dec 2012</c:v>
                </c:pt>
                <c:pt idx="5">
                  <c:v>Nov-Dec 2013</c:v>
                </c:pt>
                <c:pt idx="6">
                  <c:v>Nov-Dec 2014</c:v>
                </c:pt>
                <c:pt idx="7">
                  <c:v>Nov-Dec 2015</c:v>
                </c:pt>
                <c:pt idx="8">
                  <c:v>Nov-Dec 2016</c:v>
                </c:pt>
                <c:pt idx="9">
                  <c:v>Nov-Dec 2017</c:v>
                </c:pt>
              </c:strCache>
            </c:strRef>
          </c:cat>
          <c:val>
            <c:numRef>
              <c:f>'Nov-Dec'!$E$66:$E$75</c:f>
              <c:numCache>
                <c:formatCode>General</c:formatCode>
                <c:ptCount val="10"/>
                <c:pt idx="0">
                  <c:v>0.64629347609303966</c:v>
                </c:pt>
                <c:pt idx="1">
                  <c:v>1.4201650138218698</c:v>
                </c:pt>
                <c:pt idx="2">
                  <c:v>0.65866480459204002</c:v>
                </c:pt>
                <c:pt idx="3">
                  <c:v>1.3488509742261201</c:v>
                </c:pt>
                <c:pt idx="4">
                  <c:v>1.3002384149766604</c:v>
                </c:pt>
                <c:pt idx="5">
                  <c:v>-5.1971902878749976E-2</c:v>
                </c:pt>
                <c:pt idx="6">
                  <c:v>1.1388742870278494</c:v>
                </c:pt>
                <c:pt idx="7">
                  <c:v>0</c:v>
                </c:pt>
                <c:pt idx="8">
                  <c:v>0.78601973546252979</c:v>
                </c:pt>
                <c:pt idx="9">
                  <c:v>0.84356621517172004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13-4749-92C2-033B115B5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87439"/>
        <c:axId val="815774543"/>
      </c:lineChart>
      <c:catAx>
        <c:axId val="81578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15774543"/>
        <c:crosses val="autoZero"/>
        <c:auto val="1"/>
        <c:lblAlgn val="ctr"/>
        <c:lblOffset val="100"/>
        <c:noMultiLvlLbl val="0"/>
      </c:catAx>
      <c:valAx>
        <c:axId val="81577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Land surface temperature diffeence oC</a:t>
                </a:r>
                <a:endParaRPr lang="el-GR" sz="4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1578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LUHI Intensity Urban-SemiUrban Xanthi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LUHI Intensity Day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'Nov-Dec'!$H$66:$H$75</c:f>
              <c:strCache>
                <c:ptCount val="10"/>
                <c:pt idx="0">
                  <c:v>Nov-Dec 2008</c:v>
                </c:pt>
                <c:pt idx="1">
                  <c:v>Nov-Dec 2009</c:v>
                </c:pt>
                <c:pt idx="2">
                  <c:v>Nov-Dec 2010</c:v>
                </c:pt>
                <c:pt idx="3">
                  <c:v>Nov-Dec 2011</c:v>
                </c:pt>
                <c:pt idx="4">
                  <c:v>Nov-Dec 2012</c:v>
                </c:pt>
                <c:pt idx="5">
                  <c:v>Nov-Dec 2013</c:v>
                </c:pt>
                <c:pt idx="6">
                  <c:v>Nov-Dec 2014</c:v>
                </c:pt>
                <c:pt idx="7">
                  <c:v>Nov-Dec 2015</c:v>
                </c:pt>
                <c:pt idx="8">
                  <c:v>Nov-Dec 2016</c:v>
                </c:pt>
                <c:pt idx="9">
                  <c:v>Nov-Dec 2017</c:v>
                </c:pt>
              </c:strCache>
            </c:strRef>
          </c:cat>
          <c:val>
            <c:numRef>
              <c:f>'Nov-Dec'!$I$66:$I$75</c:f>
              <c:numCache>
                <c:formatCode>General</c:formatCode>
                <c:ptCount val="10"/>
                <c:pt idx="0">
                  <c:v>1.4527209342376004</c:v>
                </c:pt>
                <c:pt idx="1">
                  <c:v>1.5839703353241994</c:v>
                </c:pt>
                <c:pt idx="2">
                  <c:v>-0.19026720494959903</c:v>
                </c:pt>
                <c:pt idx="3">
                  <c:v>-1.7951909704170994</c:v>
                </c:pt>
                <c:pt idx="4">
                  <c:v>-3.7966994665242986</c:v>
                </c:pt>
                <c:pt idx="5">
                  <c:v>-3.1838840330914007</c:v>
                </c:pt>
                <c:pt idx="6">
                  <c:v>-0.78050449377020037</c:v>
                </c:pt>
                <c:pt idx="7">
                  <c:v>-1.5686679917442987</c:v>
                </c:pt>
                <c:pt idx="8">
                  <c:v>-1.8033256397140001</c:v>
                </c:pt>
                <c:pt idx="9">
                  <c:v>0.94097568844190072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63-440D-B67B-6E346F49AB01}"/>
            </c:ext>
          </c:extLst>
        </c:ser>
        <c:ser>
          <c:idx val="1"/>
          <c:order val="1"/>
          <c:tx>
            <c:v>LUHI Intensity Night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'Nov-Dec'!$H$66:$H$75</c:f>
              <c:strCache>
                <c:ptCount val="10"/>
                <c:pt idx="0">
                  <c:v>Nov-Dec 2008</c:v>
                </c:pt>
                <c:pt idx="1">
                  <c:v>Nov-Dec 2009</c:v>
                </c:pt>
                <c:pt idx="2">
                  <c:v>Nov-Dec 2010</c:v>
                </c:pt>
                <c:pt idx="3">
                  <c:v>Nov-Dec 2011</c:v>
                </c:pt>
                <c:pt idx="4">
                  <c:v>Nov-Dec 2012</c:v>
                </c:pt>
                <c:pt idx="5">
                  <c:v>Nov-Dec 2013</c:v>
                </c:pt>
                <c:pt idx="6">
                  <c:v>Nov-Dec 2014</c:v>
                </c:pt>
                <c:pt idx="7">
                  <c:v>Nov-Dec 2015</c:v>
                </c:pt>
                <c:pt idx="8">
                  <c:v>Nov-Dec 2016</c:v>
                </c:pt>
                <c:pt idx="9">
                  <c:v>Nov-Dec 2017</c:v>
                </c:pt>
              </c:strCache>
            </c:strRef>
          </c:cat>
          <c:val>
            <c:numRef>
              <c:f>'Nov-Dec'!$K$66:$K$75</c:f>
              <c:numCache>
                <c:formatCode>General</c:formatCode>
                <c:ptCount val="10"/>
                <c:pt idx="0">
                  <c:v>-0.24267204475204007</c:v>
                </c:pt>
                <c:pt idx="1">
                  <c:v>-0.2012405728212503</c:v>
                </c:pt>
                <c:pt idx="2">
                  <c:v>1.3777578919566595</c:v>
                </c:pt>
                <c:pt idx="3">
                  <c:v>1.7531268793990582</c:v>
                </c:pt>
                <c:pt idx="4">
                  <c:v>-0.40605827253726989</c:v>
                </c:pt>
                <c:pt idx="5">
                  <c:v>-0.84552658913392031</c:v>
                </c:pt>
                <c:pt idx="6">
                  <c:v>1.9952167335337294</c:v>
                </c:pt>
                <c:pt idx="7">
                  <c:v>0.73815097912165051</c:v>
                </c:pt>
                <c:pt idx="8">
                  <c:v>0.48354180352827991</c:v>
                </c:pt>
                <c:pt idx="9">
                  <c:v>1.90988457897291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63-440D-B67B-6E346F49A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8890351"/>
        <c:axId val="858892431"/>
      </c:lineChart>
      <c:catAx>
        <c:axId val="858890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58892431"/>
        <c:crosses val="autoZero"/>
        <c:auto val="1"/>
        <c:lblAlgn val="ctr"/>
        <c:lblOffset val="100"/>
        <c:noMultiLvlLbl val="0"/>
      </c:catAx>
      <c:valAx>
        <c:axId val="85889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Land surface temperature diffeence oC</a:t>
                </a:r>
                <a:endParaRPr lang="el-GR" sz="4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5889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60960</xdr:colOff>
      <xdr:row>53</xdr:row>
      <xdr:rowOff>156210</xdr:rowOff>
    </xdr:from>
    <xdr:to>
      <xdr:col>21</xdr:col>
      <xdr:colOff>472440</xdr:colOff>
      <xdr:row>77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495300</xdr:colOff>
      <xdr:row>3</xdr:row>
      <xdr:rowOff>49530</xdr:rowOff>
    </xdr:from>
    <xdr:to>
      <xdr:col>20</xdr:col>
      <xdr:colOff>190500</xdr:colOff>
      <xdr:row>18</xdr:row>
      <xdr:rowOff>49530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60960</xdr:colOff>
      <xdr:row>21</xdr:row>
      <xdr:rowOff>167640</xdr:rowOff>
    </xdr:from>
    <xdr:to>
      <xdr:col>21</xdr:col>
      <xdr:colOff>426720</xdr:colOff>
      <xdr:row>37</xdr:row>
      <xdr:rowOff>137160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68580</xdr:colOff>
      <xdr:row>37</xdr:row>
      <xdr:rowOff>156210</xdr:rowOff>
    </xdr:from>
    <xdr:to>
      <xdr:col>21</xdr:col>
      <xdr:colOff>449580</xdr:colOff>
      <xdr:row>53</xdr:row>
      <xdr:rowOff>129540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259080</xdr:colOff>
      <xdr:row>88</xdr:row>
      <xdr:rowOff>118110</xdr:rowOff>
    </xdr:from>
    <xdr:to>
      <xdr:col>7</xdr:col>
      <xdr:colOff>236220</xdr:colOff>
      <xdr:row>103</xdr:row>
      <xdr:rowOff>118110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53340</xdr:colOff>
      <xdr:row>88</xdr:row>
      <xdr:rowOff>118110</xdr:rowOff>
    </xdr:from>
    <xdr:to>
      <xdr:col>15</xdr:col>
      <xdr:colOff>30480</xdr:colOff>
      <xdr:row>103</xdr:row>
      <xdr:rowOff>118110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</xdr:colOff>
      <xdr:row>1</xdr:row>
      <xdr:rowOff>125730</xdr:rowOff>
    </xdr:from>
    <xdr:to>
      <xdr:col>22</xdr:col>
      <xdr:colOff>228600</xdr:colOff>
      <xdr:row>18</xdr:row>
      <xdr:rowOff>45720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137160</xdr:colOff>
      <xdr:row>18</xdr:row>
      <xdr:rowOff>64770</xdr:rowOff>
    </xdr:from>
    <xdr:to>
      <xdr:col>22</xdr:col>
      <xdr:colOff>350520</xdr:colOff>
      <xdr:row>35</xdr:row>
      <xdr:rowOff>22860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76200</xdr:colOff>
      <xdr:row>36</xdr:row>
      <xdr:rowOff>125730</xdr:rowOff>
    </xdr:from>
    <xdr:to>
      <xdr:col>19</xdr:col>
      <xdr:colOff>114300</xdr:colOff>
      <xdr:row>55</xdr:row>
      <xdr:rowOff>137160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91440</xdr:colOff>
      <xdr:row>76</xdr:row>
      <xdr:rowOff>87630</xdr:rowOff>
    </xdr:from>
    <xdr:to>
      <xdr:col>6</xdr:col>
      <xdr:colOff>441960</xdr:colOff>
      <xdr:row>91</xdr:row>
      <xdr:rowOff>87630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480060</xdr:colOff>
      <xdr:row>76</xdr:row>
      <xdr:rowOff>87630</xdr:rowOff>
    </xdr:from>
    <xdr:to>
      <xdr:col>14</xdr:col>
      <xdr:colOff>175260</xdr:colOff>
      <xdr:row>91</xdr:row>
      <xdr:rowOff>87630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topLeftCell="A18" workbookViewId="0">
      <selection activeCell="K35" sqref="K35"/>
    </sheetView>
  </sheetViews>
  <sheetFormatPr defaultRowHeight="14.4" x14ac:dyDescent="0.3"/>
  <sheetData>
    <row r="1" spans="1:22" x14ac:dyDescent="0.3">
      <c r="A1" s="4" t="s">
        <v>49</v>
      </c>
      <c r="B1" t="s">
        <v>1</v>
      </c>
      <c r="C1" t="s">
        <v>2</v>
      </c>
      <c r="D1" t="s">
        <v>3</v>
      </c>
      <c r="E1" s="5" t="s">
        <v>14</v>
      </c>
      <c r="F1" s="4" t="s">
        <v>49</v>
      </c>
      <c r="H1" t="s">
        <v>1</v>
      </c>
      <c r="I1" t="s">
        <v>2</v>
      </c>
      <c r="J1" t="s">
        <v>3</v>
      </c>
      <c r="K1" s="5" t="s">
        <v>17</v>
      </c>
      <c r="M1" s="4" t="s">
        <v>0</v>
      </c>
      <c r="N1" t="s">
        <v>1</v>
      </c>
      <c r="O1" t="s">
        <v>2</v>
      </c>
      <c r="P1" t="s">
        <v>3</v>
      </c>
      <c r="R1" s="4" t="s">
        <v>4</v>
      </c>
      <c r="T1" t="s">
        <v>1</v>
      </c>
      <c r="U1" t="s">
        <v>2</v>
      </c>
      <c r="V1" t="s">
        <v>3</v>
      </c>
    </row>
    <row r="2" spans="1:22" x14ac:dyDescent="0.3">
      <c r="A2" t="s">
        <v>18</v>
      </c>
      <c r="B2" s="2">
        <v>40.79</v>
      </c>
      <c r="C2" s="2">
        <v>38.6995589241874</v>
      </c>
      <c r="D2" s="2">
        <v>34.806363636363599</v>
      </c>
      <c r="G2" t="s">
        <v>18</v>
      </c>
      <c r="H2" s="2">
        <v>20.071249999999999</v>
      </c>
      <c r="I2" s="2">
        <v>19.6952957749603</v>
      </c>
      <c r="J2" s="2">
        <v>18.928666666666601</v>
      </c>
      <c r="M2" s="1" t="s">
        <v>7</v>
      </c>
      <c r="N2" s="2">
        <v>40.738682170542603</v>
      </c>
      <c r="O2" s="2">
        <v>38.8438504822781</v>
      </c>
      <c r="P2" s="2">
        <v>35.3887155963303</v>
      </c>
      <c r="S2" s="1" t="s">
        <v>7</v>
      </c>
      <c r="T2" s="2">
        <v>21.396580645161301</v>
      </c>
      <c r="U2" s="2">
        <v>21.1404367706876</v>
      </c>
      <c r="V2" s="2">
        <v>20.7891724137931</v>
      </c>
    </row>
    <row r="3" spans="1:22" x14ac:dyDescent="0.3">
      <c r="A3" t="s">
        <v>19</v>
      </c>
      <c r="B3" s="2">
        <v>40.566666666666698</v>
      </c>
      <c r="C3" s="2">
        <v>38.913029114068003</v>
      </c>
      <c r="D3" s="2">
        <v>35.142499999999998</v>
      </c>
      <c r="G3" t="s">
        <v>19</v>
      </c>
      <c r="H3" s="2">
        <v>21.2957142857143</v>
      </c>
      <c r="I3" s="2">
        <v>20.894963212876402</v>
      </c>
      <c r="J3" s="2">
        <v>20.036666666666701</v>
      </c>
    </row>
    <row r="4" spans="1:22" x14ac:dyDescent="0.3">
      <c r="A4" t="s">
        <v>20</v>
      </c>
      <c r="B4" s="2">
        <v>36.786000000000001</v>
      </c>
      <c r="C4" s="2">
        <v>35.0866377800523</v>
      </c>
      <c r="D4" s="2">
        <v>32.049999999999997</v>
      </c>
      <c r="G4" t="s">
        <v>20</v>
      </c>
      <c r="H4" s="2">
        <v>20.79</v>
      </c>
      <c r="I4" s="2">
        <v>20.0377870883807</v>
      </c>
      <c r="J4" s="2">
        <v>19.682307692307699</v>
      </c>
    </row>
    <row r="5" spans="1:22" x14ac:dyDescent="0.3">
      <c r="A5" t="s">
        <v>21</v>
      </c>
      <c r="B5" s="2">
        <v>39.950000000000003</v>
      </c>
      <c r="C5" s="2">
        <v>38.749540062462302</v>
      </c>
      <c r="D5" s="2">
        <v>35.423333333333296</v>
      </c>
      <c r="G5" t="s">
        <v>21</v>
      </c>
      <c r="H5" s="2">
        <v>21.662222222222201</v>
      </c>
      <c r="I5" s="2">
        <v>21.3057946093483</v>
      </c>
      <c r="J5" s="2">
        <v>20.663333333333298</v>
      </c>
    </row>
    <row r="6" spans="1:22" x14ac:dyDescent="0.3">
      <c r="A6" t="s">
        <v>22</v>
      </c>
      <c r="B6" s="2">
        <v>40.655999999999999</v>
      </c>
      <c r="C6" s="2">
        <v>38.816088396761899</v>
      </c>
      <c r="D6" s="2">
        <v>34.8318181818182</v>
      </c>
      <c r="G6" t="s">
        <v>22</v>
      </c>
      <c r="H6" s="2">
        <v>22.7126086956522</v>
      </c>
      <c r="I6" s="2">
        <v>22.5005224113773</v>
      </c>
      <c r="J6" s="2">
        <v>22.019166666666599</v>
      </c>
    </row>
    <row r="7" spans="1:22" x14ac:dyDescent="0.3">
      <c r="A7" t="s">
        <v>23</v>
      </c>
      <c r="B7" s="2">
        <v>40.655999999999999</v>
      </c>
      <c r="C7" s="2">
        <v>38.816088396761899</v>
      </c>
      <c r="D7" s="2">
        <v>34.8318181818182</v>
      </c>
      <c r="G7" t="s">
        <v>23</v>
      </c>
      <c r="H7" s="2">
        <v>21.5216666666667</v>
      </c>
      <c r="I7" s="2">
        <v>21.347361212652899</v>
      </c>
      <c r="J7" s="2">
        <v>21.235714285714302</v>
      </c>
    </row>
    <row r="8" spans="1:22" x14ac:dyDescent="0.3">
      <c r="A8" t="s">
        <v>24</v>
      </c>
      <c r="B8" s="2">
        <v>39.717500000000001</v>
      </c>
      <c r="C8" s="2">
        <v>36.611541016983701</v>
      </c>
      <c r="D8" s="2">
        <v>31.93</v>
      </c>
      <c r="G8" t="s">
        <v>24</v>
      </c>
      <c r="H8" s="2">
        <v>20.92</v>
      </c>
      <c r="I8" s="2">
        <v>20.5503838018004</v>
      </c>
      <c r="J8" s="2">
        <v>20.120769230769199</v>
      </c>
    </row>
    <row r="9" spans="1:22" x14ac:dyDescent="0.3">
      <c r="A9" t="s">
        <v>25</v>
      </c>
      <c r="B9" s="2">
        <v>42.876153846153798</v>
      </c>
      <c r="C9" s="2">
        <v>40.495995238470101</v>
      </c>
      <c r="D9" s="2">
        <v>36.713999999999999</v>
      </c>
      <c r="G9" t="s">
        <v>25</v>
      </c>
      <c r="H9" s="2">
        <v>21.893333333333299</v>
      </c>
      <c r="I9" s="2">
        <v>21.533191442390699</v>
      </c>
      <c r="J9" s="2">
        <v>20.941111111111098</v>
      </c>
    </row>
    <row r="10" spans="1:22" x14ac:dyDescent="0.3">
      <c r="A10" t="s">
        <v>26</v>
      </c>
      <c r="B10" s="2">
        <v>40.427333333333301</v>
      </c>
      <c r="C10" s="2">
        <v>38.603154603499497</v>
      </c>
      <c r="D10" s="2">
        <v>35.108461538461498</v>
      </c>
      <c r="G10" t="s">
        <v>26</v>
      </c>
      <c r="H10" s="2">
        <v>21.805714285714298</v>
      </c>
      <c r="I10" s="2">
        <v>21.211446273391601</v>
      </c>
      <c r="J10" s="2">
        <v>20.3205882352941</v>
      </c>
    </row>
    <row r="11" spans="1:22" x14ac:dyDescent="0.3">
      <c r="A11" t="s">
        <v>27</v>
      </c>
      <c r="B11" s="2">
        <v>42.671818181818203</v>
      </c>
      <c r="C11" s="2">
        <v>40.174755228849399</v>
      </c>
      <c r="D11" s="2">
        <v>36.455454545454501</v>
      </c>
      <c r="G11" t="s">
        <v>27</v>
      </c>
      <c r="H11" s="2">
        <v>21.967333333333301</v>
      </c>
      <c r="I11" s="2">
        <v>21.483887079294298</v>
      </c>
      <c r="J11" s="2">
        <v>20.978750000000002</v>
      </c>
    </row>
    <row r="12" spans="1:22" x14ac:dyDescent="0.3">
      <c r="C12">
        <f>AVERAGE(C2:C11)</f>
        <v>38.496638876209644</v>
      </c>
      <c r="I12">
        <f>AVERAGE(I2:I11)</f>
        <v>21.056063290647291</v>
      </c>
    </row>
    <row r="13" spans="1:22" x14ac:dyDescent="0.3">
      <c r="A13" s="3" t="s">
        <v>55</v>
      </c>
      <c r="B13" t="s">
        <v>1</v>
      </c>
      <c r="C13" t="s">
        <v>2</v>
      </c>
      <c r="D13" t="s">
        <v>3</v>
      </c>
      <c r="E13" t="s">
        <v>12</v>
      </c>
      <c r="F13" s="3" t="s">
        <v>55</v>
      </c>
      <c r="H13" t="s">
        <v>1</v>
      </c>
      <c r="I13" t="s">
        <v>2</v>
      </c>
      <c r="J13" t="s">
        <v>3</v>
      </c>
      <c r="K13" t="s">
        <v>12</v>
      </c>
      <c r="M13" s="3" t="s">
        <v>8</v>
      </c>
      <c r="N13" t="s">
        <v>1</v>
      </c>
      <c r="O13" t="s">
        <v>2</v>
      </c>
      <c r="P13" t="s">
        <v>3</v>
      </c>
      <c r="R13" s="3" t="s">
        <v>9</v>
      </c>
      <c r="T13" t="s">
        <v>1</v>
      </c>
      <c r="U13" t="s">
        <v>2</v>
      </c>
      <c r="V13" t="s">
        <v>3</v>
      </c>
    </row>
    <row r="14" spans="1:22" x14ac:dyDescent="0.3">
      <c r="A14" t="s">
        <v>18</v>
      </c>
      <c r="B14" s="2">
        <v>36.421111111111102</v>
      </c>
      <c r="C14" s="2">
        <v>33.225960550522402</v>
      </c>
      <c r="D14" s="2">
        <v>31.121111111111102</v>
      </c>
      <c r="E14" s="2">
        <v>35.945308875261098</v>
      </c>
      <c r="G14" t="s">
        <v>18</v>
      </c>
      <c r="H14" s="2">
        <v>20.05875</v>
      </c>
      <c r="I14" s="2">
        <v>17.724230167153699</v>
      </c>
      <c r="J14" s="2">
        <v>15.311999999999999</v>
      </c>
      <c r="K14" s="2">
        <v>17.694069565579799</v>
      </c>
      <c r="M14" s="1" t="s">
        <v>7</v>
      </c>
      <c r="N14" s="2">
        <v>39.815871559633003</v>
      </c>
      <c r="O14" s="2">
        <v>38.8207537891521</v>
      </c>
      <c r="P14" s="2">
        <v>37.898358208955202</v>
      </c>
      <c r="S14" s="1" t="s">
        <v>7</v>
      </c>
      <c r="T14" s="2">
        <v>19.8491891891892</v>
      </c>
      <c r="U14" s="2">
        <v>18.586179062903799</v>
      </c>
      <c r="V14" s="2">
        <v>17.675813953488401</v>
      </c>
    </row>
    <row r="15" spans="1:22" x14ac:dyDescent="0.3">
      <c r="A15" t="s">
        <v>19</v>
      </c>
      <c r="B15" s="2">
        <v>38.574444444444403</v>
      </c>
      <c r="C15" s="2">
        <v>33.068596338115199</v>
      </c>
      <c r="D15" s="2">
        <v>30.0328571428571</v>
      </c>
      <c r="G15" t="s">
        <v>19</v>
      </c>
      <c r="H15" s="2">
        <v>20.7990909090909</v>
      </c>
      <c r="I15" s="2">
        <v>18.1791345385755</v>
      </c>
      <c r="J15" s="2">
        <v>16.337499999999999</v>
      </c>
    </row>
    <row r="16" spans="1:22" x14ac:dyDescent="0.3">
      <c r="A16" t="s">
        <v>20</v>
      </c>
      <c r="B16" s="2">
        <v>35.266666666666701</v>
      </c>
      <c r="C16" s="2">
        <v>31.302416625756798</v>
      </c>
      <c r="D16" s="2">
        <v>28.83</v>
      </c>
      <c r="G16" t="s">
        <v>20</v>
      </c>
      <c r="H16" s="2">
        <v>20.352499999999999</v>
      </c>
      <c r="I16" s="2">
        <v>18.3368578519609</v>
      </c>
      <c r="J16" s="2">
        <v>16.967500000000001</v>
      </c>
      <c r="M16" s="3" t="s">
        <v>10</v>
      </c>
      <c r="R16" s="3" t="s">
        <v>11</v>
      </c>
    </row>
    <row r="17" spans="1:21" x14ac:dyDescent="0.3">
      <c r="A17" t="s">
        <v>21</v>
      </c>
      <c r="B17" s="2">
        <v>36.784285714285701</v>
      </c>
      <c r="C17" s="2">
        <v>31.704107365588499</v>
      </c>
      <c r="D17" s="2">
        <v>29.133333333333301</v>
      </c>
      <c r="G17" t="s">
        <v>21</v>
      </c>
      <c r="H17" s="2">
        <v>21.351111111111098</v>
      </c>
      <c r="I17" s="2">
        <v>18.582463580838098</v>
      </c>
      <c r="J17" s="2">
        <v>16.6642857142857</v>
      </c>
      <c r="M17" s="1" t="s">
        <v>7</v>
      </c>
      <c r="N17" s="2">
        <v>37.692</v>
      </c>
      <c r="O17" s="2">
        <v>33.059920792381497</v>
      </c>
      <c r="P17" s="2">
        <v>30.5426984126984</v>
      </c>
      <c r="R17" s="1" t="s">
        <v>7</v>
      </c>
      <c r="S17" s="2">
        <v>21.217417218543002</v>
      </c>
      <c r="T17" s="2">
        <v>18.724028090643401</v>
      </c>
      <c r="U17" s="2">
        <v>16.880454545454501</v>
      </c>
    </row>
    <row r="18" spans="1:21" x14ac:dyDescent="0.3">
      <c r="A18" t="s">
        <v>22</v>
      </c>
      <c r="B18" s="2">
        <v>38.9553333333333</v>
      </c>
      <c r="C18" s="2">
        <v>34.9094731876244</v>
      </c>
      <c r="D18" s="2">
        <v>31.9871428571428</v>
      </c>
      <c r="G18" t="s">
        <v>22</v>
      </c>
      <c r="H18" s="2">
        <v>22.4427272727273</v>
      </c>
      <c r="I18" s="2">
        <v>19.789562735851401</v>
      </c>
      <c r="J18" s="2">
        <v>18.196666666666601</v>
      </c>
    </row>
    <row r="19" spans="1:21" x14ac:dyDescent="0.3">
      <c r="A19" t="s">
        <v>23</v>
      </c>
      <c r="B19" s="2">
        <v>37.770000000000003</v>
      </c>
      <c r="C19" s="2">
        <v>33.637074578628699</v>
      </c>
      <c r="D19" s="2">
        <v>30.742000000000001</v>
      </c>
      <c r="G19" t="s">
        <v>23</v>
      </c>
      <c r="H19" s="2">
        <v>21.235714285714302</v>
      </c>
      <c r="I19" s="2">
        <v>19.997899908669599</v>
      </c>
      <c r="J19" s="2">
        <v>18.4655555555555</v>
      </c>
    </row>
    <row r="20" spans="1:21" x14ac:dyDescent="0.3">
      <c r="A20" t="s">
        <v>24</v>
      </c>
      <c r="B20" s="2">
        <v>36.146000000000001</v>
      </c>
      <c r="C20" s="2">
        <v>32.178409316532999</v>
      </c>
      <c r="D20" s="2">
        <v>28.8</v>
      </c>
      <c r="G20" t="s">
        <v>24</v>
      </c>
      <c r="H20" s="2">
        <v>20.53</v>
      </c>
      <c r="I20" s="2">
        <v>18.387805251004501</v>
      </c>
      <c r="J20" s="2">
        <v>16.401111111111099</v>
      </c>
    </row>
    <row r="21" spans="1:21" x14ac:dyDescent="0.3">
      <c r="A21" t="s">
        <v>25</v>
      </c>
      <c r="B21" s="2">
        <v>37.369999999999997</v>
      </c>
      <c r="C21" s="2">
        <v>32.909356860207403</v>
      </c>
      <c r="D21" s="2">
        <v>30.444285714285702</v>
      </c>
      <c r="G21" t="s">
        <v>25</v>
      </c>
      <c r="H21" s="2">
        <v>21.62</v>
      </c>
      <c r="I21" s="2">
        <v>19.014131207344199</v>
      </c>
      <c r="J21" s="2">
        <v>17.585555555555501</v>
      </c>
    </row>
    <row r="22" spans="1:21" x14ac:dyDescent="0.3">
      <c r="A22" t="s">
        <v>26</v>
      </c>
      <c r="B22" s="2">
        <v>38.386000000000003</v>
      </c>
      <c r="C22" s="2">
        <v>33.374230667099198</v>
      </c>
      <c r="D22" s="2">
        <v>30.7128571428571</v>
      </c>
      <c r="G22" t="s">
        <v>26</v>
      </c>
      <c r="H22" s="2">
        <v>21.087333333333302</v>
      </c>
      <c r="I22" s="2">
        <v>18.931005398858499</v>
      </c>
      <c r="J22" s="2">
        <v>16.672222222222199</v>
      </c>
    </row>
    <row r="23" spans="1:21" x14ac:dyDescent="0.3">
      <c r="A23" t="s">
        <v>27</v>
      </c>
      <c r="B23" s="2">
        <v>38.8675</v>
      </c>
      <c r="C23" s="2">
        <v>33.544147893598101</v>
      </c>
      <c r="D23" s="2">
        <v>31.39</v>
      </c>
      <c r="G23" t="s">
        <v>27</v>
      </c>
      <c r="H23" s="2">
        <v>21.739333333333299</v>
      </c>
      <c r="I23" s="2">
        <v>18.609519314496101</v>
      </c>
      <c r="J23" s="2">
        <v>16.998571428571399</v>
      </c>
    </row>
    <row r="24" spans="1:21" x14ac:dyDescent="0.3">
      <c r="C24">
        <f>AVERAGE(C14:C23)</f>
        <v>32.985377338367371</v>
      </c>
      <c r="I24">
        <f>AVERAGE(I14:I23)</f>
        <v>18.75526099547525</v>
      </c>
    </row>
    <row r="25" spans="1:21" x14ac:dyDescent="0.3">
      <c r="C25" t="s">
        <v>34</v>
      </c>
      <c r="I25" t="s">
        <v>35</v>
      </c>
    </row>
    <row r="26" spans="1:21" x14ac:dyDescent="0.3">
      <c r="B26" t="s">
        <v>18</v>
      </c>
      <c r="C26">
        <f>C2-E38</f>
        <v>2.0167589396553041</v>
      </c>
      <c r="H26" t="s">
        <v>18</v>
      </c>
      <c r="I26">
        <f>I2-L38</f>
        <v>2.0094058071571013</v>
      </c>
    </row>
    <row r="27" spans="1:21" x14ac:dyDescent="0.3">
      <c r="B27" t="s">
        <v>19</v>
      </c>
      <c r="C27">
        <f t="shared" ref="C27:C35" si="0">C3-E39</f>
        <v>3.0007391422019012</v>
      </c>
      <c r="H27" t="s">
        <v>19</v>
      </c>
      <c r="I27">
        <f t="shared" ref="I27:I35" si="1">I3-L39</f>
        <v>2.7138564854025518</v>
      </c>
    </row>
    <row r="28" spans="1:21" x14ac:dyDescent="0.3">
      <c r="B28" t="s">
        <v>20</v>
      </c>
      <c r="C28">
        <f t="shared" si="0"/>
        <v>1.4651768169972499</v>
      </c>
      <c r="H28" t="s">
        <v>20</v>
      </c>
      <c r="I28">
        <f t="shared" si="1"/>
        <v>2.126205191254801</v>
      </c>
    </row>
    <row r="29" spans="1:21" x14ac:dyDescent="0.3">
      <c r="B29" t="s">
        <v>21</v>
      </c>
      <c r="C29">
        <f t="shared" si="0"/>
        <v>4.9688658979707014</v>
      </c>
      <c r="H29" t="s">
        <v>21</v>
      </c>
      <c r="I29">
        <f t="shared" si="1"/>
        <v>2.4911894428120505</v>
      </c>
    </row>
    <row r="30" spans="1:21" x14ac:dyDescent="0.3">
      <c r="B30" t="s">
        <v>22</v>
      </c>
      <c r="C30">
        <f t="shared" si="0"/>
        <v>1.0861856853758951</v>
      </c>
      <c r="H30" t="s">
        <v>22</v>
      </c>
      <c r="I30">
        <f t="shared" si="1"/>
        <v>2.7134286667823524</v>
      </c>
    </row>
    <row r="31" spans="1:21" x14ac:dyDescent="0.3">
      <c r="B31" t="s">
        <v>23</v>
      </c>
      <c r="C31">
        <f t="shared" si="0"/>
        <v>2.137743602820251</v>
      </c>
      <c r="H31" t="s">
        <v>23</v>
      </c>
      <c r="I31">
        <f t="shared" si="1"/>
        <v>1.411346971456549</v>
      </c>
    </row>
    <row r="32" spans="1:21" x14ac:dyDescent="0.3">
      <c r="B32" t="s">
        <v>24</v>
      </c>
      <c r="C32">
        <f t="shared" si="0"/>
        <v>2.2194294339037057</v>
      </c>
      <c r="H32" t="s">
        <v>24</v>
      </c>
      <c r="I32">
        <f t="shared" si="1"/>
        <v>2.1416839852432474</v>
      </c>
    </row>
    <row r="33" spans="1:19" x14ac:dyDescent="0.3">
      <c r="B33" t="s">
        <v>25</v>
      </c>
      <c r="C33">
        <f t="shared" si="0"/>
        <v>4.6237993403368023</v>
      </c>
      <c r="H33" t="s">
        <v>25</v>
      </c>
      <c r="I33">
        <f t="shared" si="1"/>
        <v>2.8162569402437008</v>
      </c>
    </row>
    <row r="34" spans="1:19" x14ac:dyDescent="0.3">
      <c r="B34" t="s">
        <v>26</v>
      </c>
      <c r="C34">
        <f t="shared" si="0"/>
        <v>2.513017244419494</v>
      </c>
      <c r="D34" s="6" t="s">
        <v>2</v>
      </c>
      <c r="H34" t="s">
        <v>26</v>
      </c>
      <c r="I34">
        <f t="shared" si="1"/>
        <v>2.5151027832993513</v>
      </c>
      <c r="J34" t="s">
        <v>2</v>
      </c>
    </row>
    <row r="35" spans="1:19" x14ac:dyDescent="0.3">
      <c r="B35" t="s">
        <v>27</v>
      </c>
      <c r="C35">
        <f t="shared" si="0"/>
        <v>2.1019071149630477</v>
      </c>
      <c r="D35" s="6">
        <f>SUM(C26:C35)/10</f>
        <v>2.6133623218644351</v>
      </c>
      <c r="H35" t="s">
        <v>27</v>
      </c>
      <c r="I35">
        <f t="shared" si="1"/>
        <v>2.6802854667400986</v>
      </c>
      <c r="J35">
        <f>AVERAGE(I26:I35)</f>
        <v>2.3618761740391805</v>
      </c>
    </row>
    <row r="37" spans="1:19" x14ac:dyDescent="0.3">
      <c r="A37" s="3" t="s">
        <v>50</v>
      </c>
      <c r="B37" t="s">
        <v>1</v>
      </c>
      <c r="C37" t="s">
        <v>2</v>
      </c>
      <c r="D37" t="s">
        <v>3</v>
      </c>
      <c r="E37" t="s">
        <v>12</v>
      </c>
      <c r="G37" s="3" t="s">
        <v>50</v>
      </c>
      <c r="I37" t="s">
        <v>1</v>
      </c>
      <c r="J37" t="s">
        <v>2</v>
      </c>
      <c r="K37" t="s">
        <v>3</v>
      </c>
      <c r="L37" t="s">
        <v>12</v>
      </c>
    </row>
    <row r="38" spans="1:19" x14ac:dyDescent="0.3">
      <c r="A38" t="s">
        <v>18</v>
      </c>
      <c r="B38" s="2">
        <v>40.880000000000003</v>
      </c>
      <c r="C38" s="2">
        <v>40.139639418541798</v>
      </c>
      <c r="D38" s="2">
        <v>38.654444444444401</v>
      </c>
      <c r="E38">
        <f>MEDIAN(C38,C14)</f>
        <v>36.682799984532096</v>
      </c>
      <c r="H38" t="s">
        <v>18</v>
      </c>
      <c r="I38" s="2">
        <v>18.577368421052601</v>
      </c>
      <c r="J38" s="2">
        <v>17.647549768452699</v>
      </c>
      <c r="K38" s="2">
        <v>16.47</v>
      </c>
      <c r="L38">
        <f>MEDIAN(J38,I14)</f>
        <v>17.685889967803199</v>
      </c>
    </row>
    <row r="39" spans="1:19" x14ac:dyDescent="0.3">
      <c r="A39" t="s">
        <v>19</v>
      </c>
      <c r="B39" s="2">
        <v>39.944545454545398</v>
      </c>
      <c r="C39" s="2">
        <v>38.755983605616997</v>
      </c>
      <c r="D39" s="2">
        <v>37.604999999999997</v>
      </c>
      <c r="E39">
        <f t="shared" ref="E39:E46" si="2">MEDIAN(C39,C15)</f>
        <v>35.912289971866102</v>
      </c>
      <c r="H39" t="s">
        <v>19</v>
      </c>
      <c r="I39" s="2">
        <v>19.422000000000001</v>
      </c>
      <c r="J39" s="2">
        <v>18.1830789163722</v>
      </c>
      <c r="K39" s="2">
        <v>17.326000000000001</v>
      </c>
      <c r="L39">
        <f t="shared" ref="L39:L47" si="3">MEDIAN(J39,I15)</f>
        <v>18.18110672747385</v>
      </c>
    </row>
    <row r="40" spans="1:19" x14ac:dyDescent="0.3">
      <c r="A40" t="s">
        <v>20</v>
      </c>
      <c r="B40" s="2">
        <v>37.137999999999998</v>
      </c>
      <c r="C40" s="2">
        <v>35.940505300353301</v>
      </c>
      <c r="D40" s="2">
        <v>34.58</v>
      </c>
      <c r="E40">
        <f t="shared" si="2"/>
        <v>33.62146096305505</v>
      </c>
      <c r="H40" t="s">
        <v>20</v>
      </c>
      <c r="I40" s="2">
        <v>19.788461538461501</v>
      </c>
      <c r="J40" s="2">
        <v>17.486305942290901</v>
      </c>
      <c r="K40" s="2">
        <v>15.6471428571428</v>
      </c>
      <c r="L40">
        <f t="shared" si="3"/>
        <v>17.911581897125899</v>
      </c>
    </row>
    <row r="41" spans="1:19" x14ac:dyDescent="0.3">
      <c r="A41" t="s">
        <v>21</v>
      </c>
      <c r="B41" s="2">
        <v>38.69</v>
      </c>
      <c r="C41" s="2">
        <v>35.857240963394702</v>
      </c>
      <c r="D41" s="2">
        <v>34.292857142857102</v>
      </c>
      <c r="E41">
        <f t="shared" si="2"/>
        <v>33.7806741644916</v>
      </c>
      <c r="H41" t="s">
        <v>21</v>
      </c>
      <c r="I41" s="2">
        <v>20.2782352941176</v>
      </c>
      <c r="J41" s="2">
        <v>19.046746752234402</v>
      </c>
      <c r="K41" s="2">
        <v>18.483333333333299</v>
      </c>
      <c r="L41">
        <f t="shared" si="3"/>
        <v>18.81460516653625</v>
      </c>
    </row>
    <row r="42" spans="1:19" x14ac:dyDescent="0.3">
      <c r="A42" t="s">
        <v>22</v>
      </c>
      <c r="B42" s="2">
        <v>42.3752631578947</v>
      </c>
      <c r="C42" s="2">
        <v>40.5503322351476</v>
      </c>
      <c r="D42" s="2">
        <v>37.145555555555497</v>
      </c>
      <c r="E42">
        <f t="shared" si="2"/>
        <v>37.729902711386003</v>
      </c>
      <c r="H42" t="s">
        <v>22</v>
      </c>
      <c r="I42" s="2">
        <v>21.48</v>
      </c>
      <c r="J42" s="2">
        <v>19.784624753338498</v>
      </c>
      <c r="K42" s="2">
        <v>18.198571428571402</v>
      </c>
      <c r="L42">
        <f t="shared" si="3"/>
        <v>19.787093744594948</v>
      </c>
    </row>
    <row r="43" spans="1:19" x14ac:dyDescent="0.3">
      <c r="A43" t="s">
        <v>23</v>
      </c>
      <c r="B43" s="2">
        <v>40.92</v>
      </c>
      <c r="C43" s="2">
        <v>39.719615009254603</v>
      </c>
      <c r="D43" s="2">
        <v>37.7366666666667</v>
      </c>
      <c r="E43">
        <f t="shared" si="2"/>
        <v>36.678344793941648</v>
      </c>
      <c r="H43" t="s">
        <v>23</v>
      </c>
      <c r="I43" s="2">
        <v>20.820909090909101</v>
      </c>
      <c r="J43" s="2">
        <v>19.874128573723102</v>
      </c>
      <c r="K43" s="2">
        <v>18.981999999999999</v>
      </c>
      <c r="L43">
        <f t="shared" si="3"/>
        <v>19.93601424119635</v>
      </c>
    </row>
    <row r="44" spans="1:19" x14ac:dyDescent="0.3">
      <c r="A44" t="s">
        <v>24</v>
      </c>
      <c r="B44" s="2">
        <v>37.643999999999998</v>
      </c>
      <c r="C44" s="2">
        <v>36.605813849626998</v>
      </c>
      <c r="D44" s="2">
        <v>35.802500000000002</v>
      </c>
      <c r="E44">
        <f t="shared" si="2"/>
        <v>34.392111583079995</v>
      </c>
      <c r="H44" t="s">
        <v>24</v>
      </c>
      <c r="I44" s="2">
        <v>18.97</v>
      </c>
      <c r="J44" s="2">
        <v>18.429594382109801</v>
      </c>
      <c r="K44" s="2">
        <v>18.137272727272698</v>
      </c>
      <c r="L44">
        <f t="shared" si="3"/>
        <v>18.408699816557153</v>
      </c>
    </row>
    <row r="45" spans="1:19" x14ac:dyDescent="0.3">
      <c r="A45" t="s">
        <v>25</v>
      </c>
      <c r="B45" s="2">
        <v>40.883333333333297</v>
      </c>
      <c r="C45" s="2">
        <v>38.835034936059202</v>
      </c>
      <c r="D45" s="2">
        <v>37.432499999999997</v>
      </c>
      <c r="E45">
        <f t="shared" si="2"/>
        <v>35.872195898133299</v>
      </c>
      <c r="H45" t="s">
        <v>25</v>
      </c>
      <c r="I45" s="2">
        <v>19.740666666666598</v>
      </c>
      <c r="J45" s="2">
        <v>18.4197377969498</v>
      </c>
      <c r="K45" s="2">
        <v>17.759090909090901</v>
      </c>
      <c r="L45">
        <f t="shared" si="3"/>
        <v>18.716934502146998</v>
      </c>
    </row>
    <row r="46" spans="1:19" x14ac:dyDescent="0.3">
      <c r="A46" t="s">
        <v>26</v>
      </c>
      <c r="B46" s="2">
        <v>39.566363636363597</v>
      </c>
      <c r="C46" s="2">
        <v>38.806044051060802</v>
      </c>
      <c r="D46" s="2">
        <v>37.646666666666697</v>
      </c>
      <c r="E46">
        <f t="shared" si="2"/>
        <v>36.090137359080003</v>
      </c>
      <c r="H46" t="s">
        <v>26</v>
      </c>
      <c r="I46" s="2">
        <v>19.539230769230699</v>
      </c>
      <c r="J46" s="2">
        <v>18.461681581326001</v>
      </c>
      <c r="K46" s="2">
        <v>17.717500000000001</v>
      </c>
      <c r="L46">
        <f t="shared" si="3"/>
        <v>18.69634349009225</v>
      </c>
    </row>
    <row r="47" spans="1:19" x14ac:dyDescent="0.3">
      <c r="A47" t="s">
        <v>27</v>
      </c>
      <c r="B47" s="2">
        <v>43.142000000000003</v>
      </c>
      <c r="C47" s="2">
        <v>42.601548334174602</v>
      </c>
      <c r="D47" s="2">
        <v>42.035714285714299</v>
      </c>
      <c r="E47">
        <f>MEDIAN(C47,C23)</f>
        <v>38.072848113886351</v>
      </c>
      <c r="H47" t="s">
        <v>27</v>
      </c>
      <c r="I47" s="2">
        <v>19.6161538461538</v>
      </c>
      <c r="J47" s="2">
        <v>18.997683910612299</v>
      </c>
      <c r="K47" s="2">
        <v>18.0425</v>
      </c>
      <c r="L47">
        <f t="shared" si="3"/>
        <v>18.8036016125542</v>
      </c>
      <c r="N47" t="s">
        <v>13</v>
      </c>
      <c r="O47" t="s">
        <v>14</v>
      </c>
      <c r="P47" t="s">
        <v>15</v>
      </c>
      <c r="Q47" s="2">
        <v>26.768333333333299</v>
      </c>
      <c r="R47" t="s">
        <v>16</v>
      </c>
      <c r="S47" s="2">
        <v>41.087697841726602</v>
      </c>
    </row>
    <row r="48" spans="1:19" x14ac:dyDescent="0.3">
      <c r="J48">
        <f>AVERAGE(J38:J47)</f>
        <v>18.633113237740968</v>
      </c>
      <c r="N48" t="s">
        <v>13</v>
      </c>
      <c r="O48" t="s">
        <v>17</v>
      </c>
      <c r="P48" t="s">
        <v>15</v>
      </c>
      <c r="Q48" s="2">
        <v>15.3405263157895</v>
      </c>
      <c r="R48" t="s">
        <v>16</v>
      </c>
      <c r="S48" s="2">
        <v>20.956913580246901</v>
      </c>
    </row>
    <row r="49" spans="3:3" x14ac:dyDescent="0.3">
      <c r="C49">
        <f>AVERAGE(C38:C47)</f>
        <v>38.78117577032306</v>
      </c>
    </row>
    <row r="78" spans="2:12" x14ac:dyDescent="0.3">
      <c r="C78" t="s">
        <v>51</v>
      </c>
      <c r="H78" t="s">
        <v>52</v>
      </c>
    </row>
    <row r="79" spans="2:12" x14ac:dyDescent="0.3">
      <c r="B79" t="s">
        <v>18</v>
      </c>
      <c r="C79">
        <f>C2-C14</f>
        <v>5.4735983736649985</v>
      </c>
      <c r="E79" t="s">
        <v>18</v>
      </c>
      <c r="F79">
        <f>I2-I14</f>
        <v>1.9710656078066009</v>
      </c>
      <c r="H79" t="s">
        <v>18</v>
      </c>
      <c r="I79">
        <f>C2-C38</f>
        <v>-1.4400804943543974</v>
      </c>
      <c r="K79" t="s">
        <v>18</v>
      </c>
      <c r="L79">
        <f>I2-J38</f>
        <v>2.0477460065076016</v>
      </c>
    </row>
    <row r="80" spans="2:12" x14ac:dyDescent="0.3">
      <c r="B80" t="s">
        <v>19</v>
      </c>
      <c r="C80">
        <f t="shared" ref="C80:C88" si="4">C3-C15</f>
        <v>5.8444327759528036</v>
      </c>
      <c r="E80" t="s">
        <v>19</v>
      </c>
      <c r="F80">
        <f t="shared" ref="F80:F88" si="5">I3-I15</f>
        <v>2.7158286743009015</v>
      </c>
      <c r="H80" t="s">
        <v>19</v>
      </c>
      <c r="I80">
        <f t="shared" ref="I80:I88" si="6">C3-C39</f>
        <v>0.15704550845100584</v>
      </c>
      <c r="K80" t="s">
        <v>19</v>
      </c>
      <c r="L80">
        <f t="shared" ref="L80:L88" si="7">I3-J39</f>
        <v>2.711884296504202</v>
      </c>
    </row>
    <row r="81" spans="2:12" x14ac:dyDescent="0.3">
      <c r="B81" t="s">
        <v>20</v>
      </c>
      <c r="C81">
        <f t="shared" si="4"/>
        <v>3.7842211542955013</v>
      </c>
      <c r="E81" t="s">
        <v>20</v>
      </c>
      <c r="F81">
        <f t="shared" si="5"/>
        <v>1.7009292364197997</v>
      </c>
      <c r="H81" t="s">
        <v>20</v>
      </c>
      <c r="I81">
        <f t="shared" si="6"/>
        <v>-0.85386752030100155</v>
      </c>
      <c r="K81" t="s">
        <v>20</v>
      </c>
      <c r="L81">
        <f t="shared" si="7"/>
        <v>2.5514811460897988</v>
      </c>
    </row>
    <row r="82" spans="2:12" x14ac:dyDescent="0.3">
      <c r="B82" t="s">
        <v>21</v>
      </c>
      <c r="C82">
        <f t="shared" si="4"/>
        <v>7.045432696873803</v>
      </c>
      <c r="E82" t="s">
        <v>21</v>
      </c>
      <c r="F82">
        <f t="shared" si="5"/>
        <v>2.7233310285102021</v>
      </c>
      <c r="H82" t="s">
        <v>21</v>
      </c>
      <c r="I82">
        <f t="shared" si="6"/>
        <v>2.8922990990675999</v>
      </c>
      <c r="K82" t="s">
        <v>21</v>
      </c>
      <c r="L82">
        <f t="shared" si="7"/>
        <v>2.2590478571138988</v>
      </c>
    </row>
    <row r="83" spans="2:12" x14ac:dyDescent="0.3">
      <c r="B83" t="s">
        <v>22</v>
      </c>
      <c r="C83">
        <f t="shared" si="4"/>
        <v>3.9066152091374988</v>
      </c>
      <c r="E83" t="s">
        <v>22</v>
      </c>
      <c r="F83">
        <f t="shared" si="5"/>
        <v>2.7109596755258991</v>
      </c>
      <c r="H83" t="s">
        <v>22</v>
      </c>
      <c r="I83">
        <f t="shared" si="6"/>
        <v>-1.7342438383857015</v>
      </c>
      <c r="K83" t="s">
        <v>22</v>
      </c>
      <c r="L83">
        <f t="shared" si="7"/>
        <v>2.7158976580388021</v>
      </c>
    </row>
    <row r="84" spans="2:12" x14ac:dyDescent="0.3">
      <c r="B84" t="s">
        <v>23</v>
      </c>
      <c r="C84">
        <f t="shared" si="4"/>
        <v>5.1790138181331997</v>
      </c>
      <c r="E84" t="s">
        <v>23</v>
      </c>
      <c r="F84">
        <f t="shared" si="5"/>
        <v>1.3494613039833006</v>
      </c>
      <c r="H84" t="s">
        <v>23</v>
      </c>
      <c r="I84">
        <f t="shared" si="6"/>
        <v>-0.90352661249270483</v>
      </c>
      <c r="K84" t="s">
        <v>23</v>
      </c>
      <c r="L84">
        <f t="shared" si="7"/>
        <v>1.4732326389297974</v>
      </c>
    </row>
    <row r="85" spans="2:12" x14ac:dyDescent="0.3">
      <c r="B85" t="s">
        <v>24</v>
      </c>
      <c r="C85">
        <f t="shared" si="4"/>
        <v>4.4331317004507014</v>
      </c>
      <c r="E85" t="s">
        <v>24</v>
      </c>
      <c r="F85">
        <f t="shared" si="5"/>
        <v>2.1625785507958994</v>
      </c>
      <c r="H85" t="s">
        <v>24</v>
      </c>
      <c r="I85">
        <f t="shared" si="6"/>
        <v>5.7271673567029779E-3</v>
      </c>
      <c r="K85" t="s">
        <v>24</v>
      </c>
      <c r="L85">
        <f t="shared" si="7"/>
        <v>2.120789419690599</v>
      </c>
    </row>
    <row r="86" spans="2:12" x14ac:dyDescent="0.3">
      <c r="B86" t="s">
        <v>25</v>
      </c>
      <c r="C86">
        <f t="shared" si="4"/>
        <v>7.5866383782626983</v>
      </c>
      <c r="E86" t="s">
        <v>25</v>
      </c>
      <c r="F86">
        <f t="shared" si="5"/>
        <v>2.5190602350464992</v>
      </c>
      <c r="H86" t="s">
        <v>25</v>
      </c>
      <c r="I86">
        <f t="shared" si="6"/>
        <v>1.6609603024108992</v>
      </c>
      <c r="K86" t="s">
        <v>25</v>
      </c>
      <c r="L86">
        <f t="shared" si="7"/>
        <v>3.1134536454408988</v>
      </c>
    </row>
    <row r="87" spans="2:12" x14ac:dyDescent="0.3">
      <c r="B87" t="s">
        <v>26</v>
      </c>
      <c r="C87">
        <f t="shared" si="4"/>
        <v>5.2289239364002995</v>
      </c>
      <c r="E87" t="s">
        <v>26</v>
      </c>
      <c r="F87">
        <f t="shared" si="5"/>
        <v>2.2804408745331024</v>
      </c>
      <c r="H87" t="s">
        <v>26</v>
      </c>
      <c r="I87">
        <f t="shared" si="6"/>
        <v>-0.20288944756130434</v>
      </c>
      <c r="K87" t="s">
        <v>26</v>
      </c>
      <c r="L87">
        <f t="shared" si="7"/>
        <v>2.7497646920656003</v>
      </c>
    </row>
    <row r="88" spans="2:12" x14ac:dyDescent="0.3">
      <c r="B88" t="s">
        <v>27</v>
      </c>
      <c r="C88">
        <f t="shared" si="4"/>
        <v>6.6306073352512982</v>
      </c>
      <c r="E88" t="s">
        <v>27</v>
      </c>
      <c r="F88">
        <f t="shared" si="5"/>
        <v>2.8743677647981976</v>
      </c>
      <c r="H88" t="s">
        <v>27</v>
      </c>
      <c r="I88">
        <f t="shared" si="6"/>
        <v>-2.4267931053252028</v>
      </c>
      <c r="K88" t="s">
        <v>27</v>
      </c>
      <c r="L88">
        <f t="shared" si="7"/>
        <v>2.4862031686819996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5"/>
  <sheetViews>
    <sheetView tabSelected="1" workbookViewId="0">
      <selection activeCell="C48" sqref="C48"/>
    </sheetView>
  </sheetViews>
  <sheetFormatPr defaultRowHeight="14.4" x14ac:dyDescent="0.3"/>
  <cols>
    <col min="1" max="1" width="13.6640625" customWidth="1"/>
  </cols>
  <sheetData>
    <row r="1" spans="1:22" x14ac:dyDescent="0.3">
      <c r="A1" s="4" t="s">
        <v>28</v>
      </c>
      <c r="B1" t="s">
        <v>1</v>
      </c>
      <c r="C1" t="s">
        <v>2</v>
      </c>
      <c r="D1" t="s">
        <v>3</v>
      </c>
      <c r="F1" s="4" t="s">
        <v>29</v>
      </c>
      <c r="H1" t="s">
        <v>1</v>
      </c>
      <c r="I1" t="s">
        <v>2</v>
      </c>
      <c r="J1" t="s">
        <v>3</v>
      </c>
      <c r="K1" t="s">
        <v>48</v>
      </c>
      <c r="M1" t="s">
        <v>0</v>
      </c>
      <c r="N1" t="s">
        <v>1</v>
      </c>
      <c r="O1" t="s">
        <v>2</v>
      </c>
      <c r="P1" t="s">
        <v>3</v>
      </c>
      <c r="R1" t="s">
        <v>4</v>
      </c>
      <c r="T1" t="s">
        <v>1</v>
      </c>
      <c r="U1" t="s">
        <v>2</v>
      </c>
      <c r="V1" t="s">
        <v>3</v>
      </c>
    </row>
    <row r="2" spans="1:22" x14ac:dyDescent="0.3">
      <c r="A2" t="s">
        <v>38</v>
      </c>
      <c r="B2" s="2">
        <v>15.9671428571428</v>
      </c>
      <c r="C2" s="2">
        <v>14.9746879542611</v>
      </c>
      <c r="D2" s="2">
        <v>14.321999999999999</v>
      </c>
      <c r="G2" t="s">
        <v>38</v>
      </c>
      <c r="H2" s="2">
        <v>5.84130434782612</v>
      </c>
      <c r="I2" s="2">
        <v>5.4395379478786499</v>
      </c>
      <c r="J2" s="2">
        <v>4.9551851851852096</v>
      </c>
      <c r="M2" s="1" t="s">
        <v>7</v>
      </c>
      <c r="N2" s="2">
        <v>15.9831707317073</v>
      </c>
      <c r="O2" s="2">
        <v>14.2019634398471</v>
      </c>
      <c r="P2" s="2">
        <v>13.1138216560509</v>
      </c>
      <c r="R2" s="1"/>
      <c r="S2" s="1" t="s">
        <v>7</v>
      </c>
      <c r="T2" s="2">
        <v>4.8551737451737704</v>
      </c>
      <c r="U2" s="2">
        <v>4.3312616433581601</v>
      </c>
      <c r="V2" s="2">
        <v>3.64990783410141</v>
      </c>
    </row>
    <row r="3" spans="1:22" x14ac:dyDescent="0.3">
      <c r="A3" t="s">
        <v>39</v>
      </c>
      <c r="B3" s="2">
        <v>15.59</v>
      </c>
      <c r="C3" s="2">
        <v>14.7518766957482</v>
      </c>
      <c r="D3" s="2">
        <v>13.7214285714286</v>
      </c>
      <c r="G3" t="s">
        <v>39</v>
      </c>
      <c r="H3" s="2">
        <v>6.4925000000000201</v>
      </c>
      <c r="I3" s="2">
        <v>6.1895703682988996</v>
      </c>
      <c r="J3" s="2">
        <v>5.81555555555558</v>
      </c>
    </row>
    <row r="4" spans="1:22" x14ac:dyDescent="0.3">
      <c r="A4" t="s">
        <v>40</v>
      </c>
      <c r="B4" s="2">
        <v>16.345384615384599</v>
      </c>
      <c r="C4" s="2">
        <v>15.7847668687505</v>
      </c>
      <c r="D4" s="2">
        <v>14.917999999999999</v>
      </c>
      <c r="G4" t="s">
        <v>40</v>
      </c>
      <c r="H4" s="2">
        <v>7.5870000000000299</v>
      </c>
      <c r="I4" s="2">
        <v>6.9507202719402699</v>
      </c>
      <c r="J4" s="2">
        <v>6.5883333333333596</v>
      </c>
    </row>
    <row r="5" spans="1:22" x14ac:dyDescent="0.3">
      <c r="A5" t="s">
        <v>41</v>
      </c>
      <c r="B5" s="2">
        <v>13.4838461538461</v>
      </c>
      <c r="C5" s="2">
        <v>12.5947030225157</v>
      </c>
      <c r="D5" s="2">
        <v>11.824285714285701</v>
      </c>
      <c r="G5" t="s">
        <v>41</v>
      </c>
      <c r="H5" s="2">
        <v>2.79000000000002</v>
      </c>
      <c r="I5" s="2">
        <v>2.5135554989244402</v>
      </c>
      <c r="J5" s="2">
        <v>2.1317647058823801</v>
      </c>
    </row>
    <row r="6" spans="1:22" x14ac:dyDescent="0.3">
      <c r="A6" t="s">
        <v>42</v>
      </c>
      <c r="B6" s="2">
        <v>14.716666666666599</v>
      </c>
      <c r="C6" s="2">
        <v>13.7761844649153</v>
      </c>
      <c r="D6" s="2">
        <v>12.162307692307699</v>
      </c>
      <c r="G6" t="s">
        <v>42</v>
      </c>
      <c r="H6" s="2">
        <v>6.2865217391304604</v>
      </c>
      <c r="I6" s="2">
        <v>5.8562312461988304</v>
      </c>
      <c r="J6" s="2">
        <v>5.1554545454545702</v>
      </c>
    </row>
    <row r="7" spans="1:22" x14ac:dyDescent="0.3">
      <c r="A7" t="s">
        <v>43</v>
      </c>
      <c r="B7" s="2">
        <v>13.067500000000001</v>
      </c>
      <c r="C7" s="2">
        <v>12.742091954701699</v>
      </c>
      <c r="D7" s="2">
        <v>11.8761538461538</v>
      </c>
      <c r="G7" t="s">
        <v>43</v>
      </c>
      <c r="H7" s="2">
        <v>3.9115384615384801</v>
      </c>
      <c r="I7" s="2">
        <v>3.2971554878193801</v>
      </c>
      <c r="J7" s="2">
        <v>2.7100000000000199</v>
      </c>
    </row>
    <row r="8" spans="1:22" x14ac:dyDescent="0.3">
      <c r="A8" t="s">
        <v>44</v>
      </c>
      <c r="B8" s="2">
        <v>14.6528571428571</v>
      </c>
      <c r="C8" s="2">
        <v>13.7974704347171</v>
      </c>
      <c r="D8" s="2">
        <v>13.091666666666599</v>
      </c>
      <c r="G8" t="s">
        <v>44</v>
      </c>
      <c r="H8" s="2">
        <v>5.5377777777777997</v>
      </c>
      <c r="I8" s="2">
        <v>5.0911959333680796</v>
      </c>
      <c r="J8" s="2">
        <v>4.55800000000003</v>
      </c>
    </row>
    <row r="9" spans="1:22" x14ac:dyDescent="0.3">
      <c r="A9" t="s">
        <v>45</v>
      </c>
      <c r="B9" s="2">
        <v>15.9707692307692</v>
      </c>
      <c r="C9" s="2">
        <v>15.5136170494807</v>
      </c>
      <c r="D9" s="2">
        <v>14.991538461538401</v>
      </c>
      <c r="G9" t="s">
        <v>45</v>
      </c>
      <c r="H9" s="2">
        <v>6.8733333333333597</v>
      </c>
      <c r="I9" s="2">
        <v>5.8934077364985704</v>
      </c>
      <c r="J9" s="2">
        <v>4.4540000000000202</v>
      </c>
    </row>
    <row r="10" spans="1:22" x14ac:dyDescent="0.3">
      <c r="A10" t="s">
        <v>46</v>
      </c>
      <c r="B10" s="2">
        <v>12.848750000000001</v>
      </c>
      <c r="C10" s="2">
        <v>12.023572785280701</v>
      </c>
      <c r="D10" s="2">
        <v>11.354347826086901</v>
      </c>
      <c r="G10" t="s">
        <v>46</v>
      </c>
      <c r="H10" s="2">
        <v>2.9906250000000298</v>
      </c>
      <c r="I10" s="2">
        <v>2.4346326149548099</v>
      </c>
      <c r="J10" s="2">
        <v>1.89333333333336</v>
      </c>
    </row>
    <row r="11" spans="1:22" x14ac:dyDescent="0.3">
      <c r="A11" t="s">
        <v>47</v>
      </c>
      <c r="B11" s="2">
        <v>12.7433333333333</v>
      </c>
      <c r="C11" s="2">
        <v>12.0632577187398</v>
      </c>
      <c r="D11" s="2">
        <v>11.479230769230799</v>
      </c>
      <c r="G11" t="s">
        <v>47</v>
      </c>
      <c r="H11" s="2">
        <v>4.2514285714286002</v>
      </c>
      <c r="I11" s="2">
        <v>3.6068978916810299</v>
      </c>
      <c r="J11" s="2">
        <v>3.2766666666666899</v>
      </c>
    </row>
    <row r="12" spans="1:22" x14ac:dyDescent="0.3">
      <c r="C12">
        <f>AVERAGE(C2:C11)</f>
        <v>13.802222894911079</v>
      </c>
      <c r="I12">
        <f>AVERAGE(I2:I11)</f>
        <v>4.7272904997562959</v>
      </c>
    </row>
    <row r="13" spans="1:22" x14ac:dyDescent="0.3">
      <c r="A13" s="3" t="s">
        <v>36</v>
      </c>
      <c r="B13" t="s">
        <v>1</v>
      </c>
      <c r="C13" t="s">
        <v>2</v>
      </c>
      <c r="D13" t="s">
        <v>3</v>
      </c>
      <c r="F13" s="3" t="s">
        <v>37</v>
      </c>
      <c r="H13" t="s">
        <v>1</v>
      </c>
      <c r="I13" t="s">
        <v>2</v>
      </c>
      <c r="J13" t="s">
        <v>3</v>
      </c>
      <c r="K13" t="s">
        <v>48</v>
      </c>
      <c r="M13" t="s">
        <v>5</v>
      </c>
      <c r="N13" t="s">
        <v>1</v>
      </c>
      <c r="O13" t="s">
        <v>2</v>
      </c>
      <c r="P13" t="s">
        <v>3</v>
      </c>
      <c r="R13" t="s">
        <v>6</v>
      </c>
      <c r="T13" t="s">
        <v>1</v>
      </c>
      <c r="U13" t="s">
        <v>2</v>
      </c>
      <c r="V13" t="s">
        <v>3</v>
      </c>
    </row>
    <row r="14" spans="1:22" x14ac:dyDescent="0.3">
      <c r="A14" t="s">
        <v>38</v>
      </c>
      <c r="B14" s="2">
        <v>25.89</v>
      </c>
      <c r="C14" s="2">
        <v>12.9888510005746</v>
      </c>
      <c r="D14" s="2">
        <v>8.4200000000000408</v>
      </c>
      <c r="G14" t="s">
        <v>38</v>
      </c>
      <c r="H14" s="2">
        <v>7.1840000000000304</v>
      </c>
      <c r="I14" s="2">
        <v>5.1395407110388902</v>
      </c>
      <c r="J14" s="2">
        <v>3.1500000000000199</v>
      </c>
      <c r="M14" s="1" t="s">
        <v>7</v>
      </c>
      <c r="N14" s="2">
        <v>15.9409523809524</v>
      </c>
      <c r="O14" s="2">
        <v>12.441669886714999</v>
      </c>
      <c r="P14" s="2">
        <v>8.9870149253731597</v>
      </c>
      <c r="R14" s="1"/>
      <c r="S14" s="1" t="s">
        <v>7</v>
      </c>
      <c r="T14" s="2">
        <v>4.8551737451737704</v>
      </c>
      <c r="U14" s="2">
        <v>3.7294482047204398</v>
      </c>
      <c r="V14" s="2">
        <v>2.2141666666666899</v>
      </c>
    </row>
    <row r="15" spans="1:22" x14ac:dyDescent="0.3">
      <c r="A15" t="s">
        <v>39</v>
      </c>
      <c r="B15" s="2">
        <v>15.86</v>
      </c>
      <c r="C15" s="2">
        <v>11.8552765276022</v>
      </c>
      <c r="D15" s="2">
        <v>6.07000000000005</v>
      </c>
      <c r="G15" t="s">
        <v>39</v>
      </c>
      <c r="H15" s="2">
        <v>6.9500000000000197</v>
      </c>
      <c r="I15" s="2">
        <v>5.40916496213943</v>
      </c>
      <c r="J15" s="2">
        <v>3.6100000000000301</v>
      </c>
    </row>
    <row r="16" spans="1:22" x14ac:dyDescent="0.3">
      <c r="A16" t="s">
        <v>40</v>
      </c>
      <c r="B16" s="2">
        <v>17.698888888888899</v>
      </c>
      <c r="C16" s="2">
        <v>14.910094852024599</v>
      </c>
      <c r="D16" s="2">
        <v>10.198</v>
      </c>
      <c r="G16" t="s">
        <v>40</v>
      </c>
      <c r="H16" s="2">
        <v>7.8963157894737099</v>
      </c>
      <c r="I16" s="2">
        <v>6.0122246481821398</v>
      </c>
      <c r="J16" s="2">
        <v>4.5600000000000298</v>
      </c>
    </row>
    <row r="17" spans="1:11" x14ac:dyDescent="0.3">
      <c r="A17" t="s">
        <v>41</v>
      </c>
      <c r="B17" s="2">
        <v>15.0766666666666</v>
      </c>
      <c r="C17" s="2">
        <v>11.056038839953199</v>
      </c>
      <c r="D17" s="2">
        <v>7.2077777777777996</v>
      </c>
      <c r="G17" t="s">
        <v>41</v>
      </c>
      <c r="H17" s="2">
        <v>2.79000000000002</v>
      </c>
      <c r="I17" s="2">
        <v>1.0062420377885199</v>
      </c>
      <c r="J17" s="2">
        <v>-0.21199999999997199</v>
      </c>
    </row>
    <row r="18" spans="1:11" x14ac:dyDescent="0.3">
      <c r="A18" t="s">
        <v>42</v>
      </c>
      <c r="B18" s="2">
        <v>20.87</v>
      </c>
      <c r="C18" s="2">
        <v>13.5463438600817</v>
      </c>
      <c r="D18" s="2">
        <v>8.1675000000000395</v>
      </c>
      <c r="G18" t="s">
        <v>42</v>
      </c>
      <c r="H18" s="2">
        <v>7.83571428571432</v>
      </c>
      <c r="I18" s="2">
        <v>5.2255229960664602</v>
      </c>
      <c r="J18" s="2">
        <v>2.0742857142857298</v>
      </c>
    </row>
    <row r="19" spans="1:11" x14ac:dyDescent="0.3">
      <c r="A19" t="s">
        <v>43</v>
      </c>
      <c r="B19" s="2">
        <v>24.41</v>
      </c>
      <c r="C19" s="2">
        <v>13.6378428833154</v>
      </c>
      <c r="D19" s="2">
        <v>9.0775000000000095</v>
      </c>
      <c r="G19" t="s">
        <v>43</v>
      </c>
      <c r="H19" s="2">
        <v>6.5000000000000204</v>
      </c>
      <c r="I19" s="2">
        <v>3.66060345505633</v>
      </c>
      <c r="J19" s="2">
        <v>0.95000000000002405</v>
      </c>
    </row>
    <row r="20" spans="1:11" x14ac:dyDescent="0.3">
      <c r="A20" t="s">
        <v>44</v>
      </c>
      <c r="B20" s="2">
        <v>16.36</v>
      </c>
      <c r="C20" s="2">
        <v>12.3668124058013</v>
      </c>
      <c r="D20" s="2">
        <v>7.8050000000000201</v>
      </c>
      <c r="G20" t="s">
        <v>44</v>
      </c>
      <c r="H20" s="2">
        <v>5.5377777777777997</v>
      </c>
      <c r="I20" s="2">
        <v>3.6155641615546301</v>
      </c>
      <c r="J20" s="2">
        <v>2.4877777777777998</v>
      </c>
    </row>
    <row r="21" spans="1:11" x14ac:dyDescent="0.3">
      <c r="A21" t="s">
        <v>45</v>
      </c>
      <c r="B21" s="2">
        <v>18.63</v>
      </c>
      <c r="C21" s="2">
        <v>14.7370712786852</v>
      </c>
      <c r="D21" s="2">
        <v>11.755000000000001</v>
      </c>
      <c r="G21" t="s">
        <v>45</v>
      </c>
      <c r="H21" s="2">
        <v>6.8733333333333597</v>
      </c>
      <c r="I21" s="2">
        <v>5.6047142446003004</v>
      </c>
      <c r="J21" s="2">
        <v>3.7027272727273002</v>
      </c>
    </row>
    <row r="22" spans="1:11" x14ac:dyDescent="0.3">
      <c r="A22" t="s">
        <v>46</v>
      </c>
      <c r="B22" s="2">
        <v>15.258888888888899</v>
      </c>
      <c r="C22" s="2">
        <v>10.704183868725099</v>
      </c>
      <c r="D22" s="2">
        <v>6.7750000000000199</v>
      </c>
      <c r="G22" t="s">
        <v>46</v>
      </c>
      <c r="H22" s="2">
        <v>2.9906250000000298</v>
      </c>
      <c r="I22" s="2">
        <v>1.76717023993252</v>
      </c>
      <c r="J22" s="2">
        <v>0.47909090909093799</v>
      </c>
    </row>
    <row r="23" spans="1:11" x14ac:dyDescent="0.3">
      <c r="A23" t="s">
        <v>47</v>
      </c>
      <c r="B23" s="2">
        <v>12.1081818181818</v>
      </c>
      <c r="C23" s="2">
        <v>9.8716891129101292</v>
      </c>
      <c r="D23" s="2">
        <v>6.4100000000000099</v>
      </c>
      <c r="G23" t="s">
        <v>47</v>
      </c>
      <c r="H23" s="2">
        <v>4.2514285714286002</v>
      </c>
      <c r="I23" s="2">
        <v>2.3437288827110101</v>
      </c>
      <c r="J23" s="2">
        <v>0.97250000000002501</v>
      </c>
    </row>
    <row r="24" spans="1:11" x14ac:dyDescent="0.3">
      <c r="C24">
        <f>AVERAGE(C14:C23)</f>
        <v>12.567420462967343</v>
      </c>
    </row>
    <row r="25" spans="1:11" x14ac:dyDescent="0.3">
      <c r="A25" s="3" t="s">
        <v>30</v>
      </c>
      <c r="B25" t="s">
        <v>1</v>
      </c>
      <c r="C25" t="s">
        <v>2</v>
      </c>
      <c r="D25" t="s">
        <v>3</v>
      </c>
      <c r="G25" s="3" t="s">
        <v>31</v>
      </c>
      <c r="H25" t="s">
        <v>1</v>
      </c>
      <c r="I25" t="s">
        <v>2</v>
      </c>
      <c r="J25" t="s">
        <v>3</v>
      </c>
      <c r="K25" t="s">
        <v>48</v>
      </c>
    </row>
    <row r="26" spans="1:11" x14ac:dyDescent="0.3">
      <c r="A26" t="s">
        <v>38</v>
      </c>
      <c r="B26" s="2">
        <v>18.23</v>
      </c>
      <c r="C26" s="2">
        <v>12.646787598181399</v>
      </c>
      <c r="D26" s="2">
        <v>8.4200000000000408</v>
      </c>
      <c r="G26" t="s">
        <v>38</v>
      </c>
      <c r="H26" s="2">
        <v>7.1840000000000304</v>
      </c>
      <c r="I26" s="2">
        <v>4.7932444717856102</v>
      </c>
      <c r="J26" s="2">
        <v>3.1500000000000199</v>
      </c>
    </row>
    <row r="27" spans="1:11" x14ac:dyDescent="0.3">
      <c r="A27" t="s">
        <v>39</v>
      </c>
      <c r="B27" s="2">
        <v>14.51</v>
      </c>
      <c r="C27" s="2">
        <v>10.963154411352299</v>
      </c>
      <c r="D27" s="2">
        <v>6.07000000000005</v>
      </c>
      <c r="G27" t="s">
        <v>39</v>
      </c>
      <c r="H27" s="2">
        <v>6.3714285714285896</v>
      </c>
      <c r="I27" s="2">
        <v>4.7694053544770298</v>
      </c>
      <c r="J27" s="2">
        <v>3.6100000000000301</v>
      </c>
    </row>
    <row r="28" spans="1:11" x14ac:dyDescent="0.3">
      <c r="A28" t="s">
        <v>40</v>
      </c>
      <c r="B28" s="2">
        <v>17.698888888888899</v>
      </c>
      <c r="C28" s="2">
        <v>14.2227571365115</v>
      </c>
      <c r="D28" s="2">
        <v>10.198</v>
      </c>
      <c r="G28" t="s">
        <v>40</v>
      </c>
      <c r="H28" s="2">
        <v>7.8963157894737099</v>
      </c>
      <c r="I28" s="2">
        <v>6.2920554673482298</v>
      </c>
      <c r="J28" s="2">
        <v>4.5600000000000298</v>
      </c>
    </row>
    <row r="29" spans="1:11" x14ac:dyDescent="0.3">
      <c r="A29" t="s">
        <v>41</v>
      </c>
      <c r="B29" s="2">
        <v>11.824285714285701</v>
      </c>
      <c r="C29" s="2">
        <v>8.8918367475852094</v>
      </c>
      <c r="D29" s="2">
        <v>7.2077777777777996</v>
      </c>
      <c r="G29" t="s">
        <v>41</v>
      </c>
      <c r="H29" s="2">
        <v>2.79000000000002</v>
      </c>
      <c r="I29" s="2">
        <v>1.1647045246983201</v>
      </c>
      <c r="J29" s="2">
        <v>-0.21199999999996999</v>
      </c>
    </row>
    <row r="30" spans="1:11" x14ac:dyDescent="0.3">
      <c r="A30" t="s">
        <v>42</v>
      </c>
      <c r="B30" s="2">
        <v>13.952222222222201</v>
      </c>
      <c r="C30" s="2">
        <v>10.9424817355371</v>
      </c>
      <c r="D30" s="2">
        <v>8.1675000000000395</v>
      </c>
      <c r="G30" t="s">
        <v>42</v>
      </c>
      <c r="H30" s="2">
        <v>6.2994117647059102</v>
      </c>
      <c r="I30" s="2">
        <v>4.55599283122217</v>
      </c>
      <c r="J30" s="2">
        <v>2.0742857142857298</v>
      </c>
    </row>
    <row r="31" spans="1:11" x14ac:dyDescent="0.3">
      <c r="A31" t="s">
        <v>43</v>
      </c>
      <c r="B31" s="2">
        <v>14.646000000000001</v>
      </c>
      <c r="C31" s="2">
        <v>12.154047401484799</v>
      </c>
      <c r="D31" s="2">
        <v>9.0775000000000095</v>
      </c>
      <c r="G31" t="s">
        <v>43</v>
      </c>
      <c r="H31" s="2">
        <v>5.8033333333333603</v>
      </c>
      <c r="I31" s="2">
        <v>3.34912739069813</v>
      </c>
      <c r="J31" s="2">
        <v>0.95000000000002405</v>
      </c>
    </row>
    <row r="32" spans="1:11" x14ac:dyDescent="0.3">
      <c r="A32" t="s">
        <v>44</v>
      </c>
      <c r="B32" s="2">
        <v>13.723333333333301</v>
      </c>
      <c r="C32" s="2">
        <v>10.9321921672464</v>
      </c>
      <c r="D32" s="2">
        <v>7.8050000000000201</v>
      </c>
      <c r="G32" t="s">
        <v>44</v>
      </c>
      <c r="H32" s="2">
        <v>5.5377777777777997</v>
      </c>
      <c r="I32" s="2">
        <v>3.9523216463402302</v>
      </c>
      <c r="J32" s="2">
        <v>2.4877777777777998</v>
      </c>
    </row>
    <row r="33" spans="1:11" x14ac:dyDescent="0.3">
      <c r="A33" t="s">
        <v>45</v>
      </c>
      <c r="B33" s="2">
        <v>15.1770588235294</v>
      </c>
      <c r="C33" s="2">
        <v>13.2165832841417</v>
      </c>
      <c r="D33" s="2">
        <v>11.755000000000001</v>
      </c>
      <c r="G33" t="s">
        <v>45</v>
      </c>
      <c r="H33" s="2">
        <v>6.8733333333333597</v>
      </c>
      <c r="I33" s="2">
        <v>5.8934077364985704</v>
      </c>
      <c r="J33" s="2">
        <v>4.4540000000000202</v>
      </c>
    </row>
    <row r="34" spans="1:11" x14ac:dyDescent="0.3">
      <c r="A34" t="s">
        <v>46</v>
      </c>
      <c r="B34" s="2">
        <v>11.354347826086901</v>
      </c>
      <c r="C34" s="2">
        <v>8.6765517744700098</v>
      </c>
      <c r="D34" s="2">
        <v>6.7750000000000199</v>
      </c>
      <c r="G34" t="s">
        <v>46</v>
      </c>
      <c r="H34" s="2">
        <v>2.9906250000000298</v>
      </c>
      <c r="I34" s="2">
        <v>1.6486128794922801</v>
      </c>
      <c r="J34" s="2">
        <v>0.47909090909093799</v>
      </c>
    </row>
    <row r="35" spans="1:11" x14ac:dyDescent="0.3">
      <c r="A35" t="s">
        <v>47</v>
      </c>
      <c r="B35" s="2">
        <v>12.081428571428599</v>
      </c>
      <c r="C35" s="2">
        <v>9.0548075434940305</v>
      </c>
      <c r="D35" s="2">
        <v>6.4100000000000099</v>
      </c>
      <c r="G35" t="s">
        <v>47</v>
      </c>
      <c r="H35" s="2">
        <v>4.2514285714286002</v>
      </c>
      <c r="I35" s="2">
        <v>2.7633316765093099</v>
      </c>
      <c r="J35" s="2">
        <v>1.3683333333333501</v>
      </c>
    </row>
    <row r="36" spans="1:11" x14ac:dyDescent="0.3">
      <c r="C36">
        <f>AVERAGE(C26:C35)</f>
        <v>11.170119980000447</v>
      </c>
      <c r="I36">
        <f>AVERAGE(I26:I35)</f>
        <v>3.9182203979069881</v>
      </c>
    </row>
    <row r="37" spans="1:11" x14ac:dyDescent="0.3">
      <c r="A37" s="3" t="s">
        <v>33</v>
      </c>
      <c r="B37" t="s">
        <v>1</v>
      </c>
      <c r="C37" t="s">
        <v>2</v>
      </c>
      <c r="D37" t="s">
        <v>3</v>
      </c>
      <c r="E37" t="s">
        <v>12</v>
      </c>
      <c r="G37" s="3" t="s">
        <v>32</v>
      </c>
      <c r="I37" t="s">
        <v>1</v>
      </c>
      <c r="J37" t="s">
        <v>2</v>
      </c>
      <c r="K37" t="s">
        <v>3</v>
      </c>
    </row>
    <row r="38" spans="1:11" x14ac:dyDescent="0.3">
      <c r="A38" t="s">
        <v>38</v>
      </c>
      <c r="B38" s="2">
        <v>25.89</v>
      </c>
      <c r="C38" s="2">
        <v>13.521967020023499</v>
      </c>
      <c r="D38" s="2">
        <v>12.2</v>
      </c>
      <c r="G38" t="s">
        <v>38</v>
      </c>
      <c r="I38" s="2">
        <v>6.4500000000000304</v>
      </c>
      <c r="J38" s="2">
        <v>5.6822099926306899</v>
      </c>
      <c r="K38" s="2">
        <v>4.86250000000003</v>
      </c>
    </row>
    <row r="39" spans="1:11" x14ac:dyDescent="0.3">
      <c r="A39" t="s">
        <v>39</v>
      </c>
      <c r="B39" s="2">
        <v>15.86</v>
      </c>
      <c r="C39" s="2">
        <v>13.167906360424</v>
      </c>
      <c r="D39" s="2">
        <v>9.6300000000000505</v>
      </c>
      <c r="G39" t="s">
        <v>39</v>
      </c>
      <c r="I39" s="2">
        <v>6.9500000000000197</v>
      </c>
      <c r="J39" s="2">
        <v>6.3908109411201499</v>
      </c>
      <c r="K39" s="2">
        <v>5.85500000000002</v>
      </c>
    </row>
    <row r="40" spans="1:11" x14ac:dyDescent="0.3">
      <c r="A40" t="s">
        <v>40</v>
      </c>
      <c r="B40" s="2">
        <v>17.015714285714299</v>
      </c>
      <c r="C40" s="2">
        <v>15.975034073700099</v>
      </c>
      <c r="D40" s="2">
        <v>15.1671428571428</v>
      </c>
      <c r="G40" t="s">
        <v>40</v>
      </c>
      <c r="I40" s="2">
        <v>6.1572727272727397</v>
      </c>
      <c r="J40" s="2">
        <v>5.5729623799836103</v>
      </c>
      <c r="K40" s="2">
        <v>4.84555555555559</v>
      </c>
    </row>
    <row r="41" spans="1:11" x14ac:dyDescent="0.3">
      <c r="A41" t="s">
        <v>41</v>
      </c>
      <c r="B41" s="2">
        <v>15.0766666666666</v>
      </c>
      <c r="C41" s="2">
        <v>14.3898939929328</v>
      </c>
      <c r="D41" s="2">
        <v>12.157999999999999</v>
      </c>
      <c r="G41" t="s">
        <v>41</v>
      </c>
      <c r="I41" s="2">
        <v>1.88357142857145</v>
      </c>
      <c r="J41" s="2">
        <v>0.76042861952538199</v>
      </c>
      <c r="K41" s="2">
        <v>-9.4999999999979906E-2</v>
      </c>
    </row>
    <row r="42" spans="1:11" x14ac:dyDescent="0.3">
      <c r="A42" t="s">
        <v>42</v>
      </c>
      <c r="B42" s="2">
        <v>20.87</v>
      </c>
      <c r="C42" s="2">
        <v>17.572883931439598</v>
      </c>
      <c r="D42" s="2">
        <v>15.215</v>
      </c>
      <c r="G42" t="s">
        <v>42</v>
      </c>
      <c r="I42" s="2">
        <v>7.83571428571432</v>
      </c>
      <c r="J42" s="2">
        <v>6.2622895187361003</v>
      </c>
      <c r="K42" s="2">
        <v>5.2391666666666898</v>
      </c>
    </row>
    <row r="43" spans="1:11" x14ac:dyDescent="0.3">
      <c r="A43" t="s">
        <v>43</v>
      </c>
      <c r="B43" s="2">
        <v>24.41</v>
      </c>
      <c r="C43" s="2">
        <v>15.9259759877931</v>
      </c>
      <c r="D43" s="2">
        <v>14.386363636363599</v>
      </c>
      <c r="G43" t="s">
        <v>43</v>
      </c>
      <c r="I43" s="2">
        <v>6.5000000000000204</v>
      </c>
      <c r="J43" s="2">
        <v>4.1426820769533004</v>
      </c>
      <c r="K43" s="2">
        <v>2.92100000000003</v>
      </c>
    </row>
    <row r="44" spans="1:11" x14ac:dyDescent="0.3">
      <c r="A44" t="s">
        <v>44</v>
      </c>
      <c r="B44" s="2">
        <v>16.36</v>
      </c>
      <c r="C44" s="2">
        <v>14.577974928487301</v>
      </c>
      <c r="D44" s="2">
        <v>12.67</v>
      </c>
      <c r="G44" t="s">
        <v>44</v>
      </c>
      <c r="I44" s="2">
        <v>4.0069230769231003</v>
      </c>
      <c r="J44" s="2">
        <v>3.0959791998343502</v>
      </c>
      <c r="K44" s="2">
        <v>2.5866666666667002</v>
      </c>
    </row>
    <row r="45" spans="1:11" x14ac:dyDescent="0.3">
      <c r="A45" t="s">
        <v>45</v>
      </c>
      <c r="B45" s="2">
        <v>18.63</v>
      </c>
      <c r="C45" s="2">
        <v>17.082285041224999</v>
      </c>
      <c r="D45" s="2">
        <v>15.47</v>
      </c>
      <c r="G45" t="s">
        <v>45</v>
      </c>
      <c r="I45" s="2">
        <v>6.3633333333333599</v>
      </c>
      <c r="J45" s="2">
        <v>5.1552567573769199</v>
      </c>
      <c r="K45" s="2">
        <v>3.7027272727273002</v>
      </c>
    </row>
    <row r="46" spans="1:11" x14ac:dyDescent="0.3">
      <c r="A46" t="s">
        <v>46</v>
      </c>
      <c r="B46" s="2">
        <v>15.258888888888899</v>
      </c>
      <c r="C46" s="2">
        <v>13.826898424994701</v>
      </c>
      <c r="D46" s="2">
        <v>12.1388888888889</v>
      </c>
      <c r="G46" t="s">
        <v>46</v>
      </c>
      <c r="I46" s="2">
        <v>2.4460000000000299</v>
      </c>
      <c r="J46" s="2">
        <v>1.95109081142653</v>
      </c>
      <c r="K46" s="2">
        <v>1.22600000000003</v>
      </c>
    </row>
    <row r="47" spans="1:11" x14ac:dyDescent="0.3">
      <c r="A47" t="s">
        <v>47</v>
      </c>
      <c r="B47" s="2">
        <v>12.1081818181818</v>
      </c>
      <c r="C47" s="2">
        <v>11.1222820302979</v>
      </c>
      <c r="D47" s="2">
        <v>9.7220000000000297</v>
      </c>
      <c r="G47" t="s">
        <v>47</v>
      </c>
      <c r="I47" s="2">
        <v>2.6272727272727501</v>
      </c>
      <c r="J47" s="2">
        <v>1.6970133127081199</v>
      </c>
      <c r="K47" s="2">
        <v>0.97250000000002501</v>
      </c>
    </row>
    <row r="48" spans="1:11" x14ac:dyDescent="0.3">
      <c r="C48">
        <f>AVERAGE(C38:C47)</f>
        <v>14.716310179131799</v>
      </c>
      <c r="J48">
        <f>AVERAGE(J38:J47)</f>
        <v>4.0710723610295156</v>
      </c>
    </row>
    <row r="50" spans="1:9" x14ac:dyDescent="0.3">
      <c r="B50" t="s">
        <v>34</v>
      </c>
      <c r="H50" t="s">
        <v>35</v>
      </c>
    </row>
    <row r="51" spans="1:9" x14ac:dyDescent="0.3">
      <c r="A51" t="s">
        <v>38</v>
      </c>
      <c r="B51">
        <f>C2-C14</f>
        <v>1.9858369536864995</v>
      </c>
      <c r="G51" t="s">
        <v>38</v>
      </c>
      <c r="H51">
        <f>I2-I14</f>
        <v>0.29999723683975965</v>
      </c>
    </row>
    <row r="52" spans="1:9" x14ac:dyDescent="0.3">
      <c r="A52" t="s">
        <v>39</v>
      </c>
      <c r="B52">
        <f t="shared" ref="B52:B60" si="0">C3-C15</f>
        <v>2.8966001681459996</v>
      </c>
      <c r="G52" t="s">
        <v>39</v>
      </c>
      <c r="H52">
        <f t="shared" ref="H52:H60" si="1">I3-I15</f>
        <v>0.78040540615946963</v>
      </c>
    </row>
    <row r="53" spans="1:9" x14ac:dyDescent="0.3">
      <c r="A53" t="s">
        <v>40</v>
      </c>
      <c r="B53">
        <f t="shared" si="0"/>
        <v>0.874672016725901</v>
      </c>
      <c r="G53" t="s">
        <v>40</v>
      </c>
      <c r="H53">
        <f t="shared" si="1"/>
        <v>0.93849562375813012</v>
      </c>
    </row>
    <row r="54" spans="1:9" x14ac:dyDescent="0.3">
      <c r="A54" t="s">
        <v>41</v>
      </c>
      <c r="B54">
        <f t="shared" si="0"/>
        <v>1.5386641825625009</v>
      </c>
      <c r="G54" t="s">
        <v>41</v>
      </c>
      <c r="H54">
        <f t="shared" si="1"/>
        <v>1.5073134611359202</v>
      </c>
    </row>
    <row r="55" spans="1:9" x14ac:dyDescent="0.3">
      <c r="A55" t="s">
        <v>42</v>
      </c>
      <c r="B55">
        <f t="shared" si="0"/>
        <v>0.22984060483359947</v>
      </c>
      <c r="G55" t="s">
        <v>42</v>
      </c>
      <c r="H55">
        <f t="shared" si="1"/>
        <v>0.6307082501323702</v>
      </c>
    </row>
    <row r="56" spans="1:9" x14ac:dyDescent="0.3">
      <c r="A56" t="s">
        <v>43</v>
      </c>
      <c r="B56">
        <f t="shared" si="0"/>
        <v>-0.89575092861370109</v>
      </c>
      <c r="G56" t="s">
        <v>43</v>
      </c>
      <c r="H56">
        <f t="shared" si="1"/>
        <v>-0.36344796723694994</v>
      </c>
    </row>
    <row r="57" spans="1:9" x14ac:dyDescent="0.3">
      <c r="A57" t="s">
        <v>44</v>
      </c>
      <c r="B57">
        <f t="shared" si="0"/>
        <v>1.4306580289158006</v>
      </c>
      <c r="G57" t="s">
        <v>44</v>
      </c>
      <c r="H57">
        <f t="shared" si="1"/>
        <v>1.4756317718134495</v>
      </c>
    </row>
    <row r="58" spans="1:9" x14ac:dyDescent="0.3">
      <c r="A58" t="s">
        <v>45</v>
      </c>
      <c r="B58">
        <f t="shared" si="0"/>
        <v>0.7765457707955008</v>
      </c>
      <c r="G58" t="s">
        <v>45</v>
      </c>
      <c r="H58">
        <f t="shared" si="1"/>
        <v>0.28869349189826998</v>
      </c>
    </row>
    <row r="59" spans="1:9" x14ac:dyDescent="0.3">
      <c r="A59" t="s">
        <v>46</v>
      </c>
      <c r="B59">
        <f t="shared" si="0"/>
        <v>1.3193889165556012</v>
      </c>
      <c r="G59" t="s">
        <v>46</v>
      </c>
      <c r="H59">
        <f t="shared" si="1"/>
        <v>0.66746237502228989</v>
      </c>
    </row>
    <row r="60" spans="1:9" x14ac:dyDescent="0.3">
      <c r="A60" t="s">
        <v>47</v>
      </c>
      <c r="B60">
        <f t="shared" si="0"/>
        <v>2.1915686058296711</v>
      </c>
      <c r="C60">
        <f>AVERAGE(B51:B60)</f>
        <v>1.2348024319437374</v>
      </c>
      <c r="G60" t="s">
        <v>47</v>
      </c>
      <c r="H60">
        <f t="shared" si="1"/>
        <v>1.2631690089700198</v>
      </c>
      <c r="I60">
        <f>AVERAGE(H51:H60)</f>
        <v>0.74884286584927295</v>
      </c>
    </row>
    <row r="65" spans="1:11" x14ac:dyDescent="0.3">
      <c r="B65" t="s">
        <v>51</v>
      </c>
      <c r="E65" t="s">
        <v>53</v>
      </c>
      <c r="H65" t="s">
        <v>54</v>
      </c>
    </row>
    <row r="66" spans="1:11" x14ac:dyDescent="0.3">
      <c r="A66" t="s">
        <v>38</v>
      </c>
      <c r="B66">
        <f>C2-C26</f>
        <v>2.3279003560797005</v>
      </c>
      <c r="D66" t="s">
        <v>38</v>
      </c>
      <c r="E66">
        <f>I2-I26</f>
        <v>0.64629347609303966</v>
      </c>
      <c r="H66" t="s">
        <v>38</v>
      </c>
      <c r="I66">
        <f>C2-C38</f>
        <v>1.4527209342376004</v>
      </c>
      <c r="K66">
        <f>I2-J38</f>
        <v>-0.24267204475204007</v>
      </c>
    </row>
    <row r="67" spans="1:11" x14ac:dyDescent="0.3">
      <c r="A67" t="s">
        <v>39</v>
      </c>
      <c r="B67">
        <f t="shared" ref="B67:B75" si="2">C3-C27</f>
        <v>3.7887222843959005</v>
      </c>
      <c r="D67" t="s">
        <v>39</v>
      </c>
      <c r="E67">
        <f t="shared" ref="E67:E75" si="3">I3-I27</f>
        <v>1.4201650138218698</v>
      </c>
      <c r="H67" t="s">
        <v>39</v>
      </c>
      <c r="I67">
        <f t="shared" ref="I67:I75" si="4">C3-C39</f>
        <v>1.5839703353241994</v>
      </c>
      <c r="K67">
        <f t="shared" ref="K67:K75" si="5">I3-J39</f>
        <v>-0.2012405728212503</v>
      </c>
    </row>
    <row r="68" spans="1:11" x14ac:dyDescent="0.3">
      <c r="A68" t="s">
        <v>40</v>
      </c>
      <c r="B68">
        <f t="shared" si="2"/>
        <v>1.5620097322389999</v>
      </c>
      <c r="D68" t="s">
        <v>40</v>
      </c>
      <c r="E68">
        <f t="shared" si="3"/>
        <v>0.65866480459204002</v>
      </c>
      <c r="H68" t="s">
        <v>40</v>
      </c>
      <c r="I68">
        <f t="shared" si="4"/>
        <v>-0.19026720494959903</v>
      </c>
      <c r="K68">
        <f t="shared" si="5"/>
        <v>1.3777578919566595</v>
      </c>
    </row>
    <row r="69" spans="1:11" x14ac:dyDescent="0.3">
      <c r="A69" t="s">
        <v>41</v>
      </c>
      <c r="B69">
        <f t="shared" si="2"/>
        <v>3.702866274930491</v>
      </c>
      <c r="D69" t="s">
        <v>41</v>
      </c>
      <c r="E69">
        <f t="shared" si="3"/>
        <v>1.3488509742261201</v>
      </c>
      <c r="H69" t="s">
        <v>41</v>
      </c>
      <c r="I69">
        <f t="shared" si="4"/>
        <v>-1.7951909704170994</v>
      </c>
      <c r="K69">
        <f t="shared" si="5"/>
        <v>1.7531268793990582</v>
      </c>
    </row>
    <row r="70" spans="1:11" x14ac:dyDescent="0.3">
      <c r="A70" t="s">
        <v>42</v>
      </c>
      <c r="B70">
        <f t="shared" si="2"/>
        <v>2.8337027293781993</v>
      </c>
      <c r="D70" t="s">
        <v>42</v>
      </c>
      <c r="E70">
        <f t="shared" si="3"/>
        <v>1.3002384149766604</v>
      </c>
      <c r="H70" t="s">
        <v>42</v>
      </c>
      <c r="I70">
        <f t="shared" si="4"/>
        <v>-3.7966994665242986</v>
      </c>
      <c r="K70">
        <f t="shared" si="5"/>
        <v>-0.40605827253726989</v>
      </c>
    </row>
    <row r="71" spans="1:11" x14ac:dyDescent="0.3">
      <c r="A71" t="s">
        <v>43</v>
      </c>
      <c r="B71">
        <f t="shared" si="2"/>
        <v>0.58804455321689986</v>
      </c>
      <c r="D71" t="s">
        <v>43</v>
      </c>
      <c r="E71">
        <f t="shared" si="3"/>
        <v>-5.1971902878749976E-2</v>
      </c>
      <c r="H71" t="s">
        <v>43</v>
      </c>
      <c r="I71">
        <f t="shared" si="4"/>
        <v>-3.1838840330914007</v>
      </c>
      <c r="K71">
        <f t="shared" si="5"/>
        <v>-0.84552658913392031</v>
      </c>
    </row>
    <row r="72" spans="1:11" x14ac:dyDescent="0.3">
      <c r="A72" t="s">
        <v>44</v>
      </c>
      <c r="B72">
        <f t="shared" si="2"/>
        <v>2.8652782674706998</v>
      </c>
      <c r="D72" t="s">
        <v>44</v>
      </c>
      <c r="E72">
        <f t="shared" si="3"/>
        <v>1.1388742870278494</v>
      </c>
      <c r="H72" t="s">
        <v>44</v>
      </c>
      <c r="I72">
        <f t="shared" si="4"/>
        <v>-0.78050449377020037</v>
      </c>
      <c r="K72">
        <f t="shared" si="5"/>
        <v>1.9952167335337294</v>
      </c>
    </row>
    <row r="73" spans="1:11" x14ac:dyDescent="0.3">
      <c r="A73" t="s">
        <v>45</v>
      </c>
      <c r="B73">
        <f t="shared" si="2"/>
        <v>2.2970337653390001</v>
      </c>
      <c r="D73" t="s">
        <v>45</v>
      </c>
      <c r="E73">
        <f t="shared" si="3"/>
        <v>0</v>
      </c>
      <c r="H73" t="s">
        <v>45</v>
      </c>
      <c r="I73">
        <f t="shared" si="4"/>
        <v>-1.5686679917442987</v>
      </c>
      <c r="K73">
        <f t="shared" si="5"/>
        <v>0.73815097912165051</v>
      </c>
    </row>
    <row r="74" spans="1:11" x14ac:dyDescent="0.3">
      <c r="A74" t="s">
        <v>46</v>
      </c>
      <c r="B74">
        <f t="shared" si="2"/>
        <v>3.3470210108106908</v>
      </c>
      <c r="D74" t="s">
        <v>46</v>
      </c>
      <c r="E74">
        <f t="shared" si="3"/>
        <v>0.78601973546252979</v>
      </c>
      <c r="H74" t="s">
        <v>46</v>
      </c>
      <c r="I74">
        <f t="shared" si="4"/>
        <v>-1.8033256397140001</v>
      </c>
      <c r="K74">
        <f t="shared" si="5"/>
        <v>0.48354180352827991</v>
      </c>
    </row>
    <row r="75" spans="1:11" x14ac:dyDescent="0.3">
      <c r="A75" t="s">
        <v>47</v>
      </c>
      <c r="B75">
        <f t="shared" si="2"/>
        <v>3.0084501752457697</v>
      </c>
      <c r="D75" t="s">
        <v>47</v>
      </c>
      <c r="E75">
        <f t="shared" si="3"/>
        <v>0.84356621517172004</v>
      </c>
      <c r="H75" t="s">
        <v>47</v>
      </c>
      <c r="I75">
        <f t="shared" si="4"/>
        <v>0.94097568844190072</v>
      </c>
      <c r="K75">
        <f t="shared" si="5"/>
        <v>1.90988457897291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July-Aug</vt:lpstr>
      <vt:lpstr>Nov-Dec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2024-05-03T14:44:29Z</dcterms:created>
  <dcterms:modified xsi:type="dcterms:W3CDTF">2024-11-01T22:47:51Z</dcterms:modified>
</cp:coreProperties>
</file>